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Tier Overview" sheetId="1" r:id="rId4"/>
    <sheet state="visible" name="Vendor Tier Analysis" sheetId="2" r:id="rId5"/>
    <sheet state="visible" name="Flexible Packaging Capabilities" sheetId="3" r:id="rId6"/>
    <sheet state="visible" name="Materials  Finished Goods" sheetId="4" r:id="rId7"/>
    <sheet state="visible" name="Utilities Machines Facilities" sheetId="5" r:id="rId8"/>
    <sheet state="hidden" name="Software SystemsVendors" sheetId="6" r:id="rId9"/>
    <sheet state="visible" name="Inactive Vendors" sheetId="7" r:id="rId10"/>
    <sheet state="hidden" name="Stage List" sheetId="8" r:id="rId11"/>
    <sheet state="hidden" name="Vendor Holiday Closure Tracking" sheetId="9" r:id="rId12"/>
    <sheet state="hidden" name="Drams" sheetId="10" r:id="rId13"/>
    <sheet state="hidden" name="Tubes" sheetId="11" r:id="rId14"/>
    <sheet state="hidden" name="Extracts" sheetId="12" r:id="rId15"/>
    <sheet state="hidden" name="8th Glass" sheetId="13" r:id="rId16"/>
  </sheets>
  <definedNames>
    <definedName hidden="1" localSheetId="1" name="_xlnm._FilterDatabase">'Vendor Tier Analysis'!$A$2:$N$147</definedName>
    <definedName hidden="1" localSheetId="3" name="_xlnm._FilterDatabase">'Materials  Finished Goods'!$A$1:$L$34</definedName>
    <definedName hidden="1" localSheetId="4" name="_xlnm._FilterDatabase">'Utilities Machines Facilities'!$A$1:$K$16</definedName>
    <definedName hidden="1" localSheetId="7" name="_xlnm._FilterDatabase">'Stage List'!$A$1:$A$9</definedName>
  </definedNames>
  <calcPr/>
  <extLst>
    <ext uri="GoogleSheetsCustomDataVersion2">
      <go:sheetsCustomData xmlns:go="http://customooxmlschemas.google.com/" r:id="rId17" roundtripDataChecksum="F5uACKoF9zNq7oPVTh+sskP0IWzyirOK2WJ5zESRb1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ID#AAAB6X4Xv0Y
tc={132dc9e4-f30b-4a95-b3dc-56d988d06041}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ID#AAAB6X4Xv0U
tc={427b372c-1b0e-482d-b950-347c00de658a}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ID#AAAB6X4Xv0Q
tc={1736d048-a5cd-4ce6-9cba-9dee747c47f2}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ID#AAAB6X4Xv0M
tc={344b93e0-f043-4a3d-b664-188718321c83}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Strategic Materials is Nationwide, we used them to recycle in TX as well
======
ID#AAAB6X4Xv0I
tc={3bbb0f91-0b2e-48e1-bed9-fddbd7819479}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ID#AAAB6X4Xv0E
tc={0e5724df-b345-4aa1-9fb2-6f2b8978978f}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Strategic Materials is Nationwide, we used them to recycle in TX as well
======
ID#AAAB6X4Xv0A
tc={6cf62a85-848a-4401-b37b-209a5be01f72}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ID#AAAB6X4Xvz8
tc={4082e8eb-8872-438e-8f8d-4c44235ad84e}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ID#AAAB6X4Xvz4
tc={af9088cc-8aab-4969-b13a-00b78eaaaaa3}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======
ID#AAAB6X4Xvz0
tc={1d26ddb2-a4ef-441a-9e0e-5d53be9989ee}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ID#AAAB6X4Xvzw
tc={4082e8eb-8872-438e-8f8d-4c44235ad84e}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ID#AAAB6X4Xvzs
tc={82e105ee-15f2-429c-9c3a-13580ff1ba49}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======
ID#AAAB6X4Xvzo
tc={6f56563b-cfbe-4628-b3fb-a9ae78f7466c}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ID#AAAB6X4Xvzk
tc={6056c9fb-ad4f-4c50-ab85-26187014af0e}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ID#AAAB6X4Xvzg
tc={419ec605-b221-455f-9ea4-8124a5e11547}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Strategic Materials is Nationwide, we used them to recycle in TX as well
======
ID#AAAB6X4Xvzc
tc={2d2a29a3-e246-4b68-8f70-386aa5c106df}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ID#AAAB6X4XvzY
tc={60262335-fb91-4474-a005-f13b8bc43fac}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Strategic Materials is Nationwide, we used them to recycle in TX as well
======
ID#AAAB6X4XvzU
tc={1736d048-a5cd-4ce6-9cba-9dee747c47f2}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ID#AAAB6X4XvzQ
tc={837e3041-59ff-48c9-8c4e-1114ab64d73d}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I would count CHR and Freightquote as separate vendors
======
ID#AAAB6X4XvzM
tc={146ffa91-55de-412a-ad94-63fbe59f6995}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ID#AAAB6X4XvzI
tc={30f2f4cd-8500-4fd4-95d7-eab171777c75}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======
ID#AAAB6X4XvzE
tc={6f56563b-cfbe-4628-b3fb-a9ae78f7466c}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ID#AAAB6X4XvzA
tc={419ec605-b221-455f-9ea4-8124a5e11547}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Strategic Materials is Nationwide, we used them to recycle in TX as well
======
ID#AAAB6X4Xvy8
tc={e16e6864-a6ae-45c4-8a89-76251021bfa6}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ID#AAAB6X4Xvy4
tc={3e5dac49-b389-41af-8944-0aab1bf4fb62}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ID#AAAB6X4Xvy0
tc={6056c9fb-ad4f-4c50-ab85-26187014af0e}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ID#AAAB6X4Xvyw
tc={60262335-fb91-4474-a005-f13b8bc43fac}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Strategic Materials is Nationwide, we used them to recycle in TX as well
======
ID#AAAB6X4Xvys
tc={4082e8eb-8872-438e-8f8d-4c44235ad84e}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ID#AAAB6X4Xvyo
tc={1efee4c8-80fe-4e00-8942-eaabea9d6aa8}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Strategic Materials is Nationwide, we used them to recycle in TX as well
======
ID#AAAB6X4Xvyk
tc={a8883627-7ef7-401d-b6e0-8507b7f6dec0}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ID#AAAB6X4Xvyg
tc={6cf62a85-848a-4401-b37b-209a5be01f72}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ID#AAAB6X4Xvyc
tc={427b372c-1b0e-482d-b950-347c00de658a}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ID#AAAB6X4XvyY
tc={a82d9e8e-3a12-4d9c-96af-85c00662fcac}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ID#AAAB6X4XvyU
tc={60262335-fb91-4474-a005-f13b8bc43fac}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Strategic Materials is Nationwide, we used them to recycle in TX as well
======
ID#AAAB6X4XvyQ
tc={14f2d249-da31-4118-8eb1-745b7c11a86b}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Strategic Materials is Nationwide, we used them to recycle in TX as well
======
ID#AAAB6X4XvyM
tc={af9088cc-8aab-4969-b13a-00b78eaaaaa3}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======
ID#AAAB6X4XvyI
tc={6045e345-fcd3-4a60-8368-9498b9778189}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ID#AAAB6X4XvyE
tc={d46fb9c4-7819-47b3-9ec8-c2c82d401223}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ID#AAAB6X4XvyA
tc={70e7e2de-a2c9-4d94-8d3b-2cc7b7f98e28}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======
ID#AAAB6X4Xvx8
tc={911ac435-464d-455b-8074-63cc424c5a37}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ID#AAAB6X4Xvx4
tc={190d31be-f5b0-4ccf-a829-42f1f361d17b}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ID#AAAB6X4Xvx0
tc={af9088cc-8aab-4969-b13a-00b78eaaaaa3}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======
ID#AAAB6X4Xvxw
tc={132dc9e4-f30b-4a95-b3dc-56d988d06041}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ID#AAAB6X4Xvxs
tc={132dc9e4-f30b-4a95-b3dc-56d988d06041}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ID#AAAB6X4Xvxo
tc={a82d9e8e-3a12-4d9c-96af-85c00662fcac}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ID#AAAB6X4Xvxk
tc={2d2a29a3-e246-4b68-8f70-386aa5c106df}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ID#AAAB6X4Xvxg
tc={b7805dc8-8dba-424e-a229-7f4b7d9e7f9d}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ID#AAAB6X4Xvxc
tc={1cfd6fe7-b6b9-4a60-b069-313646de15f0}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I would count CHR and Freightquote as separate vendors
======
ID#AAAB6X4XvxY
tc={e24c2222-3559-4ecf-8a2f-fd133eb075ec}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ID#AAAB6X4XvxU
tc={a507ff24-23f9-4bc7-ba35-d24fc651ccd4}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@mbartholomew@calyxcontainers.com
Assigned to
======
ID#AAAB6X4XvxQ
tc={684bd286-544d-4660-8c93-fe30ec17609c}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I would count CHR and Freightquote as separate vendors
======
ID#AAAB6X4XvxM
tc={82e105ee-15f2-429c-9c3a-13580ff1ba49}    (2026-05-12 04:29:39)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@mbartholo…</t>
      </text>
    </comment>
  </commentList>
  <extLst>
    <ext uri="GoogleSheetsCustomDataVersion2">
      <go:sheetsCustomData xmlns:go="http://customooxmlschemas.google.com/" r:id="rId1" roundtripDataSignature="AMtx7mhublTFO628wJAnIQRY50ABGXRed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ID#AAAB6X4XvgA
tc={e4418edc-9ee8-4a0b-8388-92fddd135486}    (2026-05-12 04:29:38)
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@jcurrey@calyxcontainers.com Cory reminded me that he's replaced my list of vendors with this more official one. He has added a few vendors to consider and I have added them to the list here and you should have all contacts below now!</t>
      </text>
    </comment>
  </commentList>
  <extLst>
    <ext uri="GoogleSheetsCustomDataVersion2">
      <go:sheetsCustomData xmlns:go="http://customooxmlschemas.google.com/" r:id="rId1" roundtripDataSignature="AMtx7mhTgk2x82LocjmO0Bnb6d/hWX9qQA=="/>
    </ext>
  </extLst>
</comments>
</file>

<file path=xl/sharedStrings.xml><?xml version="1.0" encoding="utf-8"?>
<sst xmlns="http://schemas.openxmlformats.org/spreadsheetml/2006/main" count="1492" uniqueCount="762">
  <si>
    <t>Criteria</t>
  </si>
  <si>
    <t>Description</t>
  </si>
  <si>
    <t>Weight (%)</t>
  </si>
  <si>
    <t>Business Impact</t>
  </si>
  <si>
    <t>Would disruption affect revenue, compliance, or quality?</t>
  </si>
  <si>
    <t>Spend Volume</t>
  </si>
  <si>
    <t>What is the annual spend with this vendor?</t>
  </si>
  <si>
    <t>Substitutability</t>
  </si>
  <si>
    <t>How easily can this vendor be replaced?</t>
  </si>
  <si>
    <t>Supply Complexity</t>
  </si>
  <si>
    <t>Custom tooling, regulatory dependencies, or IP involved?</t>
  </si>
  <si>
    <t>Supplier Relationship</t>
  </si>
  <si>
    <t>Strategic partner or transactional relationship?</t>
  </si>
  <si>
    <t>Score</t>
  </si>
  <si>
    <t>Definition</t>
  </si>
  <si>
    <t>Example Vendors</t>
  </si>
  <si>
    <t>5 - Critical</t>
  </si>
  <si>
    <t>Disruption would halt core operations, affect regulated products, or lead to major revenue loss</t>
  </si>
  <si>
    <t>Primary packaging (rigid containers), licensed resins</t>
  </si>
  <si>
    <t>4 - High</t>
  </si>
  <si>
    <t>Disruption would significantly delay customer orders or require expensive workaround/substitute</t>
  </si>
  <si>
    <t>Key label suppliers, large freight carriers</t>
  </si>
  <si>
    <t>3 - Moderate</t>
  </si>
  <si>
    <t>Delays would impact operations but alternatives exist or buffer inventory is available</t>
  </si>
  <si>
    <t>Flexible packaging, regional distributors</t>
  </si>
  <si>
    <t>2 - Low</t>
  </si>
  <si>
    <t>Disruption causes inefficiencies or slight cost increases but is manageable</t>
  </si>
  <si>
    <t>Corrugate vendors, non-critical custom labels</t>
  </si>
  <si>
    <t>1 - Minimal</t>
  </si>
  <si>
    <t>No direct impact on products or customers; easily substituted</t>
  </si>
  <si>
    <t>Office supplies, promotional material providers</t>
  </si>
  <si>
    <t>Example</t>
  </si>
  <si>
    <t>Contribute to 80% of total vendor spend</t>
  </si>
  <si>
    <t>Rigid container supplier</t>
  </si>
  <si>
    <t>N/A</t>
  </si>
  <si>
    <t>Contribute to 81%-95% of total vendor spend</t>
  </si>
  <si>
    <t>Secondary packaging or service vendors</t>
  </si>
  <si>
    <t>Contribute to 96%-100% of total vendor spend</t>
  </si>
  <si>
    <t>Promotional or one-time vendors</t>
  </si>
  <si>
    <t>No substitute exists; proprietary, licensed, or uniquely qualified supplier</t>
  </si>
  <si>
    <t>Custom CR packaging or tooling vendor</t>
  </si>
  <si>
    <t>Very limited substitutes; switching takes 3+ months or regulatory rework</t>
  </si>
  <si>
    <t>Specialized label supplier with cannabis compliance knowledge</t>
  </si>
  <si>
    <t>Some substitutes exist; 30–90 day lead time to switch</t>
  </si>
  <si>
    <t>Branded carton printers</t>
  </si>
  <si>
    <t>Easily substitutable with minor effort or approval</t>
  </si>
  <si>
    <t>Common shipping materials or brokers</t>
  </si>
  <si>
    <t>Fully commoditized; substitutes immediately available</t>
  </si>
  <si>
    <t>Office supplies or standard MRO items</t>
  </si>
  <si>
    <t>High complexity: custom specifications, long tooling lead times, tight tolerances</t>
  </si>
  <si>
    <t>CR-certified containers with custom design</t>
  </si>
  <si>
    <t>Moderate-high: requires ongoing engineering collaboration or special approvals</t>
  </si>
  <si>
    <t>Multi-layered labels or film</t>
  </si>
  <si>
    <t>Moderate: multi-step quoting, but largely repeatable products</t>
  </si>
  <si>
    <t>Printed cartons with dielines</t>
  </si>
  <si>
    <t>Low complexity: catalog-based, limited configuration</t>
  </si>
  <si>
    <t>Predefined SKUs, blank packaging</t>
  </si>
  <si>
    <t>Very simple: off-the-shelf, plug-and-play</t>
  </si>
  <si>
    <t>Office chairs, janitorial supplies</t>
  </si>
  <si>
    <t>Long-term strategic partner; involved in product development or innovation</t>
  </si>
  <si>
    <t>Co-developing sustainable packaging</t>
  </si>
  <si>
    <t>Close operational partner with performance tracking and quarterly reviews</t>
  </si>
  <si>
    <t>Key vendor with SLA and dashboard in place</t>
  </si>
  <si>
    <t>Stable relationship with repeat orders but limited engagement</t>
  </si>
  <si>
    <t>Recurring vendor, no formal governance</t>
  </si>
  <si>
    <t>Transactional: used when needed, minimal continuity</t>
  </si>
  <si>
    <t>Local printers or temporary vendors</t>
  </si>
  <si>
    <t>One-time use or purely tactical; no ongoing relationship</t>
  </si>
  <si>
    <t>Promotional giveaways, trial vendors</t>
  </si>
  <si>
    <t>Tier 1:</t>
  </si>
  <si>
    <t>&gt; 3.5</t>
  </si>
  <si>
    <t>Tier 2:</t>
  </si>
  <si>
    <t>2.5 - 3.5</t>
  </si>
  <si>
    <t>Tier 3:</t>
  </si>
  <si>
    <t>&lt; 2.5</t>
  </si>
  <si>
    <t>Last Updated</t>
  </si>
  <si>
    <t>Bills Received</t>
  </si>
  <si>
    <t>Vendor</t>
  </si>
  <si>
    <t>Class</t>
  </si>
  <si>
    <t>Geography</t>
  </si>
  <si>
    <t>Total</t>
  </si>
  <si>
    <t>% of Spend</t>
  </si>
  <si>
    <t>Running</t>
  </si>
  <si>
    <t>Weighted Tier</t>
  </si>
  <si>
    <t>Tier</t>
  </si>
  <si>
    <t>Compax Packaging</t>
  </si>
  <si>
    <t>Propritary</t>
  </si>
  <si>
    <t>Plastic Containers</t>
  </si>
  <si>
    <t>USA</t>
  </si>
  <si>
    <t>Tier 1</t>
  </si>
  <si>
    <t>DazPak</t>
  </si>
  <si>
    <t>Medium</t>
  </si>
  <si>
    <t>Flexographic Flexible Packaging</t>
  </si>
  <si>
    <t>Logistics Plus</t>
  </si>
  <si>
    <t>Short</t>
  </si>
  <si>
    <t>Shipping</t>
  </si>
  <si>
    <t>Tier 2</t>
  </si>
  <si>
    <t>Ross Print and Packaging</t>
  </si>
  <si>
    <t>Midweb Digital Flexible Packaging</t>
  </si>
  <si>
    <t>MACTAC (Morgan Adhesives Co LLC)</t>
  </si>
  <si>
    <t>Label Substrates</t>
  </si>
  <si>
    <t>Indigo America Inc</t>
  </si>
  <si>
    <t>Printer Inks</t>
  </si>
  <si>
    <t>{Vendor}</t>
  </si>
  <si>
    <t>Stock Pkg</t>
  </si>
  <si>
    <t>Flexible Packaging Substrate</t>
  </si>
  <si>
    <t>1991 Parkway Blvd - SLC Payment Plan</t>
  </si>
  <si>
    <t>Avery Dennison Corporation</t>
  </si>
  <si>
    <t>Label Lamination</t>
  </si>
  <si>
    <t>3i Law, LLC</t>
  </si>
  <si>
    <t>Source One Packaging</t>
  </si>
  <si>
    <t>Long</t>
  </si>
  <si>
    <t>Shrink Bands</t>
  </si>
  <si>
    <t>China</t>
  </si>
  <si>
    <t>50 HUNT STREET PROPERTY LLC</t>
  </si>
  <si>
    <t>Reynolds Consumer Products (Presto Zippers)</t>
  </si>
  <si>
    <t>Flexible Packaging Zipper</t>
  </si>
  <si>
    <t>Tier 3</t>
  </si>
  <si>
    <t>AB Graphic International Inc</t>
  </si>
  <si>
    <t>KDX-Kangde Xin America LLC</t>
  </si>
  <si>
    <t>Flexible Packaging Lamination</t>
  </si>
  <si>
    <t>Ace Recycling &amp; Disposal</t>
  </si>
  <si>
    <t>Taghleef Industries</t>
  </si>
  <si>
    <t>ACTEGA North America LLC</t>
  </si>
  <si>
    <t>Morris Packaging LLC</t>
  </si>
  <si>
    <t>Tier 8</t>
  </si>
  <si>
    <t>ASAP Freight LLC</t>
  </si>
  <si>
    <t>Custom Cones USA</t>
  </si>
  <si>
    <t>Pop Top Tubes</t>
  </si>
  <si>
    <t>Tier 6</t>
  </si>
  <si>
    <t>Flex-Pack Engineering, Inc.</t>
  </si>
  <si>
    <t>Cure Material</t>
  </si>
  <si>
    <t>BakerHostetler</t>
  </si>
  <si>
    <t>Spectragraphics</t>
  </si>
  <si>
    <t>Label Printer</t>
  </si>
  <si>
    <t>BB Media Group, LLC</t>
  </si>
  <si>
    <t>Propeller, Inc.</t>
  </si>
  <si>
    <t>FEP Inserter</t>
  </si>
  <si>
    <t>Beckstrand Law Offices</t>
  </si>
  <si>
    <t>Tedpack Company Limited</t>
  </si>
  <si>
    <t>International Flexpack</t>
  </si>
  <si>
    <t>Tier 12</t>
  </si>
  <si>
    <t>BMD</t>
  </si>
  <si>
    <t>Virtual Packaging</t>
  </si>
  <si>
    <t>Paperboard</t>
  </si>
  <si>
    <t>Bottle Coatings</t>
  </si>
  <si>
    <t>PakSouth</t>
  </si>
  <si>
    <t>Supplies</t>
  </si>
  <si>
    <t>Tier 10</t>
  </si>
  <si>
    <t>Brandon Bonham</t>
  </si>
  <si>
    <t>MP &amp; D</t>
  </si>
  <si>
    <t>Buffo's Termite &amp; Pest Control</t>
  </si>
  <si>
    <t>California Packaging</t>
  </si>
  <si>
    <t>Tier 4</t>
  </si>
  <si>
    <t>Kocher+Beck USA</t>
  </si>
  <si>
    <t>Die Tools</t>
  </si>
  <si>
    <t>Tier 7</t>
  </si>
  <si>
    <t>Chicago Exhibit Productions, Inc.</t>
  </si>
  <si>
    <t>UBECHOI LIMITED</t>
  </si>
  <si>
    <t>Other</t>
  </si>
  <si>
    <t>Cleanmenders International</t>
  </si>
  <si>
    <t>FEDEX</t>
  </si>
  <si>
    <t>CLTV8</t>
  </si>
  <si>
    <t>Nobelus, LLC</t>
  </si>
  <si>
    <t>Pacificolor, LLC</t>
  </si>
  <si>
    <t>Printing Plates</t>
  </si>
  <si>
    <t>Tier 9</t>
  </si>
  <si>
    <t>Conn Kavanaugh Rosenthal Peisch &amp; Ford, LLP</t>
  </si>
  <si>
    <t>JetFx Technologies</t>
  </si>
  <si>
    <t>Label Chemicals</t>
  </si>
  <si>
    <t>CRC - Cannabis Research Coalition</t>
  </si>
  <si>
    <t>Wink US LLC</t>
  </si>
  <si>
    <t>Tier 14</t>
  </si>
  <si>
    <t>Creative Bend Films (Caroline Boyd Productions, LLC)</t>
  </si>
  <si>
    <t>Crews Consulting Group Payment Plan</t>
  </si>
  <si>
    <t>H. Loeb Corporation</t>
  </si>
  <si>
    <t>FEP Die Cutting</t>
  </si>
  <si>
    <t>CROWN PACKAGING CORP</t>
  </si>
  <si>
    <t>UPS</t>
  </si>
  <si>
    <t>Sun Centre USA Inc</t>
  </si>
  <si>
    <t>Flexible Packaging Converter</t>
  </si>
  <si>
    <t>Cyber Advisors (Wasatch IT).</t>
  </si>
  <si>
    <t>Tier 5</t>
  </si>
  <si>
    <t>Emerald X, LLC</t>
  </si>
  <si>
    <t>Western Container</t>
  </si>
  <si>
    <t>Tier 13</t>
  </si>
  <si>
    <t>Enbridge Energy</t>
  </si>
  <si>
    <t>K LASER TECHNOLOGY (USA) CO., LTD.</t>
  </si>
  <si>
    <t>Label Foil</t>
  </si>
  <si>
    <t>EQUIPMENT SHARE</t>
  </si>
  <si>
    <t>Siegwerk EIC, LLC</t>
  </si>
  <si>
    <t>Tier 11</t>
  </si>
  <si>
    <t>EverGreen Line</t>
  </si>
  <si>
    <t>Sun Print Solutions</t>
  </si>
  <si>
    <t>American Durafilm</t>
  </si>
  <si>
    <t>FEP Supplier</t>
  </si>
  <si>
    <t>Takigawa Corporation America</t>
  </si>
  <si>
    <t>Rotogravure Flexible Packaging</t>
  </si>
  <si>
    <t>FOX ROTHSCHILD LLP</t>
  </si>
  <si>
    <t>Inhance Technologies LLC</t>
  </si>
  <si>
    <t>Treated Lids</t>
  </si>
  <si>
    <t>Freeman</t>
  </si>
  <si>
    <t>CannaZip</t>
  </si>
  <si>
    <t>Flexible Packaging Broker</t>
  </si>
  <si>
    <t>Gong.io Inc</t>
  </si>
  <si>
    <t>Reynolds Packaging LLC</t>
  </si>
  <si>
    <t>Google</t>
  </si>
  <si>
    <t>Wausau Coated Products, Inc</t>
  </si>
  <si>
    <t>Granger-Hunter Home Improvement District</t>
  </si>
  <si>
    <t>BlueStar</t>
  </si>
  <si>
    <t>Scanner/ Printer Supplier</t>
  </si>
  <si>
    <t>Grasslands</t>
  </si>
  <si>
    <t>S-One</t>
  </si>
  <si>
    <t>Grow World, Inc.</t>
  </si>
  <si>
    <t>USPS</t>
  </si>
  <si>
    <t>Inkworks</t>
  </si>
  <si>
    <t>HubSpot, Inc.</t>
  </si>
  <si>
    <t>Glass Spray Coating</t>
  </si>
  <si>
    <t>Mexico</t>
  </si>
  <si>
    <t>Heinz Glass</t>
  </si>
  <si>
    <t>Glass Container</t>
  </si>
  <si>
    <t>Poland</t>
  </si>
  <si>
    <t>IPFS Corporation</t>
  </si>
  <si>
    <t>MBK (Menbank)</t>
  </si>
  <si>
    <t>Jage Media Inc.</t>
  </si>
  <si>
    <t>Kaps-all Packaging Systems</t>
  </si>
  <si>
    <t>Keller and Heckman LLP</t>
  </si>
  <si>
    <t>Label Traxx</t>
  </si>
  <si>
    <t>Logistics Plus Custom Broker Solutions, Inc.</t>
  </si>
  <si>
    <t>Meyers, Roman, Friedberg &amp; Lewis</t>
  </si>
  <si>
    <t>MJS Partners LLC</t>
  </si>
  <si>
    <t>NECANN Expos LLC</t>
  </si>
  <si>
    <t>NR Parentco LLC</t>
  </si>
  <si>
    <t>Ohio Cannabis Health &amp; Business Summit</t>
  </si>
  <si>
    <t>OPTAMARK</t>
  </si>
  <si>
    <t>Oracle NetSuite</t>
  </si>
  <si>
    <t>Original Copy &amp; Print (OCP)</t>
  </si>
  <si>
    <t>P.E. USA, LLC</t>
  </si>
  <si>
    <t>Peak Alarm Co, Inc.</t>
  </si>
  <si>
    <t>Pinnacle Roller Co</t>
  </si>
  <si>
    <t>Principal Life Insurance Company</t>
  </si>
  <si>
    <t>Print Rush LLC</t>
  </si>
  <si>
    <t>Rhinehart Oil</t>
  </si>
  <si>
    <t>Rocky Mountain Power</t>
  </si>
  <si>
    <t>State of Utah Labor Commission</t>
  </si>
  <si>
    <t>The 9th Block</t>
  </si>
  <si>
    <t>Thomas P Howard</t>
  </si>
  <si>
    <t>Trailer Rental Company</t>
  </si>
  <si>
    <t>Unitec Laboratory Services Limited</t>
  </si>
  <si>
    <t>University of Utah</t>
  </si>
  <si>
    <t>VISION AUTOMATED FULFILLMENT</t>
  </si>
  <si>
    <t>Vorys</t>
  </si>
  <si>
    <t>WCF Mutual Insurance Company</t>
  </si>
  <si>
    <t>WEST VALLEY CITY CORPORATION</t>
  </si>
  <si>
    <t>X-rite</t>
  </si>
  <si>
    <t>Your Employment Solutions</t>
  </si>
  <si>
    <t>Midweb Digital Printing</t>
  </si>
  <si>
    <t>Flexographic Printing</t>
  </si>
  <si>
    <t>Rotograuvre Printing</t>
  </si>
  <si>
    <t>SUP/ Layflat Bag Converting</t>
  </si>
  <si>
    <t>Flat Bottom Pouch Converting</t>
  </si>
  <si>
    <t>Spot Varnish</t>
  </si>
  <si>
    <t>Solventless Lamination</t>
  </si>
  <si>
    <t>Thermal Lamination</t>
  </si>
  <si>
    <t>Stated Margin</t>
  </si>
  <si>
    <t>No</t>
  </si>
  <si>
    <t>Yes</t>
  </si>
  <si>
    <t>15% or Less</t>
  </si>
  <si>
    <t>15% - 25%</t>
  </si>
  <si>
    <t>Category</t>
  </si>
  <si>
    <t>Sub Category</t>
  </si>
  <si>
    <t>Stage</t>
  </si>
  <si>
    <t>Capabilities</t>
  </si>
  <si>
    <t>Locations</t>
  </si>
  <si>
    <t>Documents</t>
  </si>
  <si>
    <t>Calyx POC</t>
  </si>
  <si>
    <t>Vendor POC</t>
  </si>
  <si>
    <t>Vendor POC Phone Number</t>
  </si>
  <si>
    <t>Vendor POC Email</t>
  </si>
  <si>
    <t>Finished Goods Components</t>
  </si>
  <si>
    <t>FEP Forming</t>
  </si>
  <si>
    <t>7 - Active</t>
  </si>
  <si>
    <t>FEP Film
Sheeting
Die Cutting
Thermoforming</t>
  </si>
  <si>
    <t>Cory Timmons</t>
  </si>
  <si>
    <t>Mitchel Mei</t>
  </si>
  <si>
    <t>508-429-8000</t>
  </si>
  <si>
    <t>jgoodwin@americandurafilm.com</t>
  </si>
  <si>
    <t>Raw Materials - Labels</t>
  </si>
  <si>
    <t>Facestock</t>
  </si>
  <si>
    <t>Roll Stock Label Material
Minimal Flexible packaging Materials</t>
  </si>
  <si>
    <t>Ashleigh Kosanka</t>
  </si>
  <si>
    <t>419-618-5965</t>
  </si>
  <si>
    <t>Ashleigh.kosanka@averydennison.com</t>
  </si>
  <si>
    <t>Finished Goods - Rigid</t>
  </si>
  <si>
    <t>Injection molding</t>
  </si>
  <si>
    <t>Injection Molding</t>
  </si>
  <si>
    <t>Salt Lake City, UT</t>
  </si>
  <si>
    <t>Danelle Devine
Lucinda Blackburn</t>
  </si>
  <si>
    <t>801-440-0581
‪‪208-313-1533</t>
  </si>
  <si>
    <t xml:space="preserve">danelle@compaxpackaging.com, lblackburn@compaxpackaging.com </t>
  </si>
  <si>
    <t>Die cutting
CNC Routing
Laser Cutting</t>
  </si>
  <si>
    <t>Geoffrey Faucher</t>
  </si>
  <si>
    <t>508 944-8629</t>
  </si>
  <si>
    <t>gfaucher@hloeb.com</t>
  </si>
  <si>
    <t>HP Indigo</t>
  </si>
  <si>
    <t>Ink</t>
  </si>
  <si>
    <t>Zak Callahan</t>
  </si>
  <si>
    <t>858-449-6969</t>
  </si>
  <si>
    <t>zak.callahan@hp.com</t>
  </si>
  <si>
    <t>Logistics</t>
  </si>
  <si>
    <t>Distribution</t>
  </si>
  <si>
    <t>LTL
FTL
International
3PL services</t>
  </si>
  <si>
    <t>Danny Yunes</t>
  </si>
  <si>
    <t>daniel.yunes@logisticsplus.com</t>
  </si>
  <si>
    <t>Roll Stock Label Material</t>
  </si>
  <si>
    <t>Duane Stevenson</t>
  </si>
  <si>
    <t>916-715-9332</t>
  </si>
  <si>
    <t>orders@mactac.com</t>
  </si>
  <si>
    <t>Propeller Warehouse Inc</t>
  </si>
  <si>
    <t>FEP Insert</t>
  </si>
  <si>
    <t>Kitting/ Assembly
3PL Services</t>
  </si>
  <si>
    <t>Santiquin, UT</t>
  </si>
  <si>
    <t>Avery Christensen</t>
  </si>
  <si>
    <t>801-592-1805</t>
  </si>
  <si>
    <t>avery@propellerinc.com</t>
  </si>
  <si>
    <t>Rotometrics/ Maxacess</t>
  </si>
  <si>
    <t>Raw Materials</t>
  </si>
  <si>
    <t>Die</t>
  </si>
  <si>
    <t>Phil Taylor</t>
  </si>
  <si>
    <t>909-957-2128</t>
  </si>
  <si>
    <t>Parcel</t>
  </si>
  <si>
    <t>Parcel Shipping</t>
  </si>
  <si>
    <t>Finished Goods</t>
  </si>
  <si>
    <t>Boxes</t>
  </si>
  <si>
    <t>Digital Box Printing/ converting
Spot Varnish
Foil</t>
  </si>
  <si>
    <t>Grapevine, TX</t>
  </si>
  <si>
    <t>Jodie Echols</t>
  </si>
  <si>
    <t>817-714-7129</t>
  </si>
  <si>
    <t>jodie@virtualpackaging.com</t>
  </si>
  <si>
    <t>Dazpak</t>
  </si>
  <si>
    <t>Flexible Packaging</t>
  </si>
  <si>
    <t>Flexographic Printing
Flexible Packaging Converting
 - K Seal
 - 3 side seal (Top/Bottom)
 - CR Zipper
 - Non CR Zipper
Inolok Zipper
Box Pouch Converting
Storage Available
Slitting
Laminating</t>
  </si>
  <si>
    <t>Southern California
Columbus, Ohio</t>
  </si>
  <si>
    <t>Kevin Vance</t>
  </si>
  <si>
    <t>916-716-7907</t>
  </si>
  <si>
    <t>kvance@dazpak.com</t>
  </si>
  <si>
    <t>Mid-web Digital Printing
Lamination
Spot Varnish
Flexible Packaging Converting</t>
  </si>
  <si>
    <t>Spokane, WA</t>
  </si>
  <si>
    <t>Kerry Ann Kauder</t>
  </si>
  <si>
    <t>509-954-5844</t>
  </si>
  <si>
    <t>kkauder@rossprint.com</t>
  </si>
  <si>
    <t>Mid-web Digital Printing
Lamination</t>
  </si>
  <si>
    <t>Orem, UT</t>
  </si>
  <si>
    <t>Hugh Olmstead</t>
  </si>
  <si>
    <t>801-845-6525</t>
  </si>
  <si>
    <t>hugh@printrush.net</t>
  </si>
  <si>
    <t>Shrink Sleeves
Flexographic Flexpack
Dessicants</t>
  </si>
  <si>
    <t>Nick Griffo</t>
  </si>
  <si>
    <t>631-258-3073</t>
  </si>
  <si>
    <t xml:space="preserve">ng@sourceonepackagingllc.com </t>
  </si>
  <si>
    <t>Converting</t>
  </si>
  <si>
    <t>Flexible Packaging Converting
 - K Seal
 - 3 side seal (Top/Bottom)
 - CR Zipper
 - Non CR Zipper</t>
  </si>
  <si>
    <t>Sean Pease</t>
  </si>
  <si>
    <t>224-699-9058</t>
  </si>
  <si>
    <t>cust.serv@suncentre.us</t>
  </si>
  <si>
    <t>Laminate</t>
  </si>
  <si>
    <t>Sara Perry</t>
  </si>
  <si>
    <t>sara.perry@nobelus.com</t>
  </si>
  <si>
    <t>ACTEGA North America, Inc.</t>
  </si>
  <si>
    <t>Varinish/ Primer</t>
  </si>
  <si>
    <t>Marc Pittier</t>
  </si>
  <si>
    <t>925-451-1960</t>
  </si>
  <si>
    <t>marc.pittier@altana.com</t>
  </si>
  <si>
    <t>CTI</t>
  </si>
  <si>
    <t>Tracy Lewis</t>
  </si>
  <si>
    <t>719-592-1557</t>
  </si>
  <si>
    <t>tlewis@ctiinks.com</t>
  </si>
  <si>
    <t>Fedex</t>
  </si>
  <si>
    <t>Flourination</t>
  </si>
  <si>
    <t>Chris Ridenour</t>
  </si>
  <si>
    <t>281-813-8144</t>
  </si>
  <si>
    <t>cridenour@inhancetechnologies.com</t>
  </si>
  <si>
    <t>JetFx Inc.</t>
  </si>
  <si>
    <t>Chris Padilla</t>
  </si>
  <si>
    <t>consumables@jetfx.com</t>
  </si>
  <si>
    <t>Foil</t>
  </si>
  <si>
    <t>Richard Jackson</t>
  </si>
  <si>
    <t>561-373-0251</t>
  </si>
  <si>
    <t>richardj@coldfoil.com</t>
  </si>
  <si>
    <t>Kurz</t>
  </si>
  <si>
    <t>Michael Aumann</t>
  </si>
  <si>
    <t>704-519-6391</t>
  </si>
  <si>
    <t>Michael.Aumann@kurzusa.com</t>
  </si>
  <si>
    <t>Pacific Color</t>
  </si>
  <si>
    <t>Plate</t>
  </si>
  <si>
    <t>Jason Jordan</t>
  </si>
  <si>
    <t>801-721-6355</t>
  </si>
  <si>
    <t>sales@pacificolor.com</t>
  </si>
  <si>
    <t>Haley Hollister</t>
  </si>
  <si>
    <t>941-866-6125</t>
  </si>
  <si>
    <t>Siegwerk Environmental Inks</t>
  </si>
  <si>
    <t>Jake Melcher</t>
  </si>
  <si>
    <t>719-332-1920</t>
  </si>
  <si>
    <t>jake.melcher@siegwerk.com</t>
  </si>
  <si>
    <t>Labels</t>
  </si>
  <si>
    <t>Erik Rodriguez</t>
  </si>
  <si>
    <t>erikr@spectragraphics.com</t>
  </si>
  <si>
    <t>Vision Automated Fulfillment</t>
  </si>
  <si>
    <t>Off Site Storage</t>
  </si>
  <si>
    <t>Tracy York</t>
  </si>
  <si>
    <t>801-651-7048</t>
  </si>
  <si>
    <t>Tracy@visionaf.com</t>
  </si>
  <si>
    <t>Wellpac (Brokered through Compax)</t>
  </si>
  <si>
    <t>Wink</t>
  </si>
  <si>
    <t>Dreana Helmick</t>
  </si>
  <si>
    <t>704-804-3220</t>
  </si>
  <si>
    <t>dreanah@wink-us.com</t>
  </si>
  <si>
    <t>Green Bay, WI</t>
  </si>
  <si>
    <t>Morris Packaging</t>
  </si>
  <si>
    <t>AB Graphics</t>
  </si>
  <si>
    <t>Machinery</t>
  </si>
  <si>
    <t>Finishing Machine</t>
  </si>
  <si>
    <t>Mitch Ogran
Nate Barker</t>
  </si>
  <si>
    <t>951-312-8755
Parts</t>
  </si>
  <si>
    <t>mitch@abgintusa.com
parts@abcint.com</t>
  </si>
  <si>
    <t>Dominion Energy</t>
  </si>
  <si>
    <t>Utilities</t>
  </si>
  <si>
    <t>800-323-5517</t>
  </si>
  <si>
    <t>Dupre Solutions</t>
  </si>
  <si>
    <t>Application Equipment</t>
  </si>
  <si>
    <t>Isaac Dupre</t>
  </si>
  <si>
    <t>Isaac@dupre-solutions.com</t>
  </si>
  <si>
    <t>Haupt Electrical</t>
  </si>
  <si>
    <t>Facilities</t>
  </si>
  <si>
    <t>Electrical</t>
  </si>
  <si>
    <t>801-489-6565</t>
  </si>
  <si>
    <t>Hybrid Software USA</t>
  </si>
  <si>
    <t>Software</t>
  </si>
  <si>
    <t>Prepress</t>
  </si>
  <si>
    <t>Eric Bateman</t>
  </si>
  <si>
    <t>215-550-6243</t>
  </si>
  <si>
    <t>ericb@hybridsoftware.com</t>
  </si>
  <si>
    <t>Jani-Serv Inc</t>
  </si>
  <si>
    <t>Cleaner</t>
  </si>
  <si>
    <t>Mario Camargo</t>
  </si>
  <si>
    <t>801-508-4933</t>
  </si>
  <si>
    <t>janiservut@gmail.com</t>
  </si>
  <si>
    <t>Jones Heating &amp; Air Conditioning</t>
  </si>
  <si>
    <t>HVAC</t>
  </si>
  <si>
    <t>Dion Jones</t>
  </si>
  <si>
    <t>801-972-8557</t>
  </si>
  <si>
    <t>Label Manufacturing</t>
  </si>
  <si>
    <t>Dorothy Asboth
Ken Wanderer</t>
  </si>
  <si>
    <t>262-767-9977
414-774-9997</t>
  </si>
  <si>
    <t>dorothy@labeltraxx.com
kenw@labeltraxx.com</t>
  </si>
  <si>
    <t>Peak Alarm</t>
  </si>
  <si>
    <t>Security</t>
  </si>
  <si>
    <t>801-486-7231</t>
  </si>
  <si>
    <t>Qima</t>
  </si>
  <si>
    <t>Quality</t>
  </si>
  <si>
    <t>3rd Party Inspection</t>
  </si>
  <si>
    <t>Rewind Tables</t>
  </si>
  <si>
    <t>Bart Buncke</t>
  </si>
  <si>
    <t>801-592-1350</t>
  </si>
  <si>
    <t>Acct #: 636134560011</t>
  </si>
  <si>
    <t>888-221-7070</t>
  </si>
  <si>
    <t>Rocky Mountain Recycling Services</t>
  </si>
  <si>
    <t>Recycler, Cardboard</t>
  </si>
  <si>
    <t>Link</t>
  </si>
  <si>
    <t>Molly Sasine</t>
  </si>
  <si>
    <t>801-931-4133</t>
  </si>
  <si>
    <t>molly.sasine@rockymountainrecycling.com</t>
  </si>
  <si>
    <t>Sabol and Rice</t>
  </si>
  <si>
    <t>Generator</t>
  </si>
  <si>
    <t>801-973-2300</t>
  </si>
  <si>
    <t>West Valley City</t>
  </si>
  <si>
    <t>Municiple</t>
  </si>
  <si>
    <t>801-966-3600</t>
  </si>
  <si>
    <t>Active?</t>
  </si>
  <si>
    <t>Netsuite</t>
  </si>
  <si>
    <t>Outreach</t>
  </si>
  <si>
    <t>?</t>
  </si>
  <si>
    <t>G-Suite</t>
  </si>
  <si>
    <t>Rippling</t>
  </si>
  <si>
    <t>Bennie</t>
  </si>
  <si>
    <t>Asana</t>
  </si>
  <si>
    <t>Slack</t>
  </si>
  <si>
    <t>Intercom</t>
  </si>
  <si>
    <t>Kixie</t>
  </si>
  <si>
    <t>Shopify</t>
  </si>
  <si>
    <t>Hubspot</t>
  </si>
  <si>
    <t>Bonusly</t>
  </si>
  <si>
    <t>Lucid Chart</t>
  </si>
  <si>
    <t>Adobe</t>
  </si>
  <si>
    <t>Freightquote</t>
  </si>
  <si>
    <t>Navisphere</t>
  </si>
  <si>
    <t>Shipstation</t>
  </si>
  <si>
    <t>Tableau</t>
  </si>
  <si>
    <t>eShipPlus</t>
  </si>
  <si>
    <t>myLogisticsPlus</t>
  </si>
  <si>
    <t>Veracore</t>
  </si>
  <si>
    <t>Order Desk</t>
  </si>
  <si>
    <t>Extensive / Cartrover</t>
  </si>
  <si>
    <t>Concur</t>
  </si>
  <si>
    <t>AMIGo</t>
  </si>
  <si>
    <t>Microsoft / Office</t>
  </si>
  <si>
    <t>Apple / iCloud</t>
  </si>
  <si>
    <t>LabelTraxx</t>
  </si>
  <si>
    <t>Amazon Business</t>
  </si>
  <si>
    <t>Staples</t>
  </si>
  <si>
    <t>Stampli (Invoice approval)</t>
  </si>
  <si>
    <t>Scribe</t>
  </si>
  <si>
    <t>Expensify</t>
  </si>
  <si>
    <t>Gallup/Strengthsquest</t>
  </si>
  <si>
    <t>PODS</t>
  </si>
  <si>
    <t>GroupGreeting</t>
  </si>
  <si>
    <t>CARM / Canada CBP</t>
  </si>
  <si>
    <t>Moresteam</t>
  </si>
  <si>
    <t>JazzHR</t>
  </si>
  <si>
    <t>Minitab</t>
  </si>
  <si>
    <t>Avalara</t>
  </si>
  <si>
    <t>Human Interest</t>
  </si>
  <si>
    <t>Quickbase</t>
  </si>
  <si>
    <t>Snackbox</t>
  </si>
  <si>
    <t>Electric AI</t>
  </si>
  <si>
    <t>Uline</t>
  </si>
  <si>
    <t>Shippo</t>
  </si>
  <si>
    <t>Form Publisher</t>
  </si>
  <si>
    <t>Acucote Fredrigoni</t>
  </si>
  <si>
    <t>8 - Not Approved/ Reapproval needed</t>
  </si>
  <si>
    <t>Rob Bullen</t>
  </si>
  <si>
    <t>Pat McGee</t>
  </si>
  <si>
    <t>816-510-4267</t>
  </si>
  <si>
    <t>patrick.mcgee@fedrigoni.com</t>
  </si>
  <si>
    <t>Anchor Hocking LLC</t>
  </si>
  <si>
    <t>Glass</t>
  </si>
  <si>
    <t>Greg White</t>
  </si>
  <si>
    <t>210-289-9010</t>
  </si>
  <si>
    <t>Greg.white@anchorhocking.com</t>
  </si>
  <si>
    <t>Aspen Press</t>
  </si>
  <si>
    <t>Pouching</t>
  </si>
  <si>
    <t>Roger Green</t>
  </si>
  <si>
    <t>801-599-5748</t>
  </si>
  <si>
    <t>roger@aspenpress.com</t>
  </si>
  <si>
    <t>ARC Intl</t>
  </si>
  <si>
    <t>Assempak</t>
  </si>
  <si>
    <t>Greg Bianco
Jill Elbertson</t>
  </si>
  <si>
    <t>609-685-7657</t>
  </si>
  <si>
    <t>gbianco@assempak.com
jelbertson@assempak</t>
  </si>
  <si>
    <t>Atlas</t>
  </si>
  <si>
    <t>-</t>
  </si>
  <si>
    <t>Lindsay Billet</t>
  </si>
  <si>
    <t>lbillet@atlascontainer.com</t>
  </si>
  <si>
    <t>Carter Distribution</t>
  </si>
  <si>
    <t>Mark Carter</t>
  </si>
  <si>
    <t>775-745-9826</t>
  </si>
  <si>
    <t>mark@carterdc.com</t>
  </si>
  <si>
    <t xml:space="preserve">CH Robinson </t>
  </si>
  <si>
    <t>Freight (Ocean/International)</t>
  </si>
  <si>
    <t>Marc Manna</t>
  </si>
  <si>
    <t>marc.Manna@chrobinson.com</t>
  </si>
  <si>
    <t>DWK Life Sciences</t>
  </si>
  <si>
    <t>Engineered Plastics</t>
  </si>
  <si>
    <t>Recycler (Erie, PA)</t>
  </si>
  <si>
    <t>Don McMillen</t>
  </si>
  <si>
    <t>(814)774-2970</t>
  </si>
  <si>
    <t>dm@engineeredplastics.com</t>
  </si>
  <si>
    <t>Freight</t>
  </si>
  <si>
    <t>Glenn Connors</t>
  </si>
  <si>
    <t>Glenn.Connors@freightquote.com</t>
  </si>
  <si>
    <t>Gerreshimer</t>
  </si>
  <si>
    <t>Joe Cortese</t>
  </si>
  <si>
    <t>joe.cortese@gerresheimer.com</t>
  </si>
  <si>
    <t>Gold Leaf</t>
  </si>
  <si>
    <t>HiTech</t>
  </si>
  <si>
    <t>Rob Loranger Jr.</t>
  </si>
  <si>
    <t>415-264-7269</t>
  </si>
  <si>
    <t>rj@hitech-plastics.com</t>
  </si>
  <si>
    <t>Jeneet</t>
  </si>
  <si>
    <t>Reycler, FEP</t>
  </si>
  <si>
    <t>HLoeb &gt; Jeneet Scrap Process</t>
  </si>
  <si>
    <t>Tim Walsh</t>
  </si>
  <si>
    <t>401-921-5366</t>
  </si>
  <si>
    <t>tim@jeneet.com</t>
  </si>
  <si>
    <t>K Sidrane Inc</t>
  </si>
  <si>
    <t>Print</t>
  </si>
  <si>
    <t>Zach Sidrane</t>
  </si>
  <si>
    <t>631-393-6974</t>
  </si>
  <si>
    <t>ZSidrane@ksidrane.com</t>
  </si>
  <si>
    <t>KIMAC</t>
  </si>
  <si>
    <t>Rework</t>
  </si>
  <si>
    <t>M&amp;R</t>
  </si>
  <si>
    <t>Jess Bart</t>
  </si>
  <si>
    <t>Steve Brownstone</t>
  </si>
  <si>
    <t xml:space="preserve">Steve@mrlabel.com </t>
  </si>
  <si>
    <t>Macaran</t>
  </si>
  <si>
    <t>Pat Degnan
Donna Kamkar</t>
  </si>
  <si>
    <t xml:space="preserve">pdegnan@macaran.com 
dkamkar@macaran.com </t>
  </si>
  <si>
    <t>Milwright</t>
  </si>
  <si>
    <t>Northcore Industries, Inc.</t>
  </si>
  <si>
    <t>Cores</t>
  </si>
  <si>
    <t>Pack4</t>
  </si>
  <si>
    <t>Foam Insert</t>
  </si>
  <si>
    <t>Nick Litano</t>
  </si>
  <si>
    <t xml:space="preserve">nlitano@pack4.com </t>
  </si>
  <si>
    <t>Package Development Company</t>
  </si>
  <si>
    <t>Thermoform</t>
  </si>
  <si>
    <t>Rick Folbrecht</t>
  </si>
  <si>
    <t>r.folbrecht@pkgdev.com</t>
  </si>
  <si>
    <t>Packlane</t>
  </si>
  <si>
    <t>TJ King</t>
  </si>
  <si>
    <t xml:space="preserve">tking@packlane.com </t>
  </si>
  <si>
    <t>Phenix Labels</t>
  </si>
  <si>
    <t>Greg Russell</t>
  </si>
  <si>
    <t xml:space="preserve">grussell@phenixlabel.com </t>
  </si>
  <si>
    <t>Finishing Rollers</t>
  </si>
  <si>
    <t>Michael Brown</t>
  </si>
  <si>
    <t>513-369-4830</t>
  </si>
  <si>
    <t>Mike@metzgermachine.com</t>
  </si>
  <si>
    <t>Plate Crafters</t>
  </si>
  <si>
    <t>VQ Needed</t>
  </si>
  <si>
    <t>Paul Netwal</t>
  </si>
  <si>
    <t>352-455-3020</t>
  </si>
  <si>
    <t>paul@platecrafters.com</t>
  </si>
  <si>
    <t>Poli</t>
  </si>
  <si>
    <t>Magdalena Piniewska</t>
  </si>
  <si>
    <t>+48 52 352 79 40</t>
  </si>
  <si>
    <t>magdalena.piniewska@poli.com.pl</t>
  </si>
  <si>
    <t>Polyfit</t>
  </si>
  <si>
    <t>Recycler, Plastic West Coast</t>
  </si>
  <si>
    <t>Luis Gutierrez</t>
  </si>
  <si>
    <t>664-406-75-77</t>
  </si>
  <si>
    <t>luis@polyfit.us</t>
  </si>
  <si>
    <t>Printing Arts</t>
  </si>
  <si>
    <t>Doug Still</t>
  </si>
  <si>
    <t xml:space="preserve">dstill@printarts.com </t>
  </si>
  <si>
    <t>Qspac</t>
  </si>
  <si>
    <t>Jeff Esslair</t>
  </si>
  <si>
    <t>714-213-9684</t>
  </si>
  <si>
    <t>Jeffe@qspac.com</t>
  </si>
  <si>
    <t>Raflatac</t>
  </si>
  <si>
    <t>Thomas Gray</t>
  </si>
  <si>
    <t>828-290-5783</t>
  </si>
  <si>
    <t>thomas.gray@upmraflatac.com</t>
  </si>
  <si>
    <t>SDI Packaging</t>
  </si>
  <si>
    <t>Tray Inserts</t>
  </si>
  <si>
    <t>Joannie Leduc</t>
  </si>
  <si>
    <t>jleduc@sdipackaging.com</t>
  </si>
  <si>
    <t>Senawave</t>
  </si>
  <si>
    <t>Internet</t>
  </si>
  <si>
    <t>Ladd Marshall</t>
  </si>
  <si>
    <t>801-217-9003</t>
  </si>
  <si>
    <t>Shuman Plastics</t>
  </si>
  <si>
    <t>Recycler, Plastic East Coast</t>
  </si>
  <si>
    <t>Dan Shuman</t>
  </si>
  <si>
    <t>716-685-2121 # 103</t>
  </si>
  <si>
    <t>info@shuman-plastics.com</t>
  </si>
  <si>
    <t>Strategic Materials</t>
  </si>
  <si>
    <t>Recycler, Glass East Coast</t>
  </si>
  <si>
    <t>Dora Servidio</t>
  </si>
  <si>
    <t>860-334-7263</t>
  </si>
  <si>
    <t>dservidio@smi.com</t>
  </si>
  <si>
    <t>Recycler, Glass West Coast</t>
  </si>
  <si>
    <t>Alex Vega</t>
  </si>
  <si>
    <t>281-507-8682</t>
  </si>
  <si>
    <t>avega@smi.com</t>
  </si>
  <si>
    <t>Sundial / Bottle Coatings</t>
  </si>
  <si>
    <t>UPS SCS</t>
  </si>
  <si>
    <t>Daniel Plante</t>
  </si>
  <si>
    <t>daniel.plante@ups.com</t>
  </si>
  <si>
    <t>Wausau Coated Products</t>
  </si>
  <si>
    <t xml:space="preserve">VQ, </t>
  </si>
  <si>
    <t>Mark Arnold</t>
  </si>
  <si>
    <t>715.870.1146</t>
  </si>
  <si>
    <t>mdarnold@wausaucoated.com</t>
  </si>
  <si>
    <t>Zinga</t>
  </si>
  <si>
    <t>Sandy Yoss</t>
  </si>
  <si>
    <t xml:space="preserve">sandy@zingalabels.com </t>
  </si>
  <si>
    <t>1 - NDA Submitted</t>
  </si>
  <si>
    <t>2 - Vendor Qualification</t>
  </si>
  <si>
    <t>3 - Sampling/Pricing</t>
  </si>
  <si>
    <t>4 - Contract in Draft</t>
  </si>
  <si>
    <t>5 - Contract Negoiation</t>
  </si>
  <si>
    <t>6 - Contract Submitted for Signature</t>
  </si>
  <si>
    <t>Contact(s)</t>
  </si>
  <si>
    <t>Email</t>
  </si>
  <si>
    <t>Q2</t>
  </si>
  <si>
    <t>Q3</t>
  </si>
  <si>
    <t>Q4</t>
  </si>
  <si>
    <t>Q1</t>
  </si>
  <si>
    <t>Compax</t>
  </si>
  <si>
    <t>Danelle Devine</t>
  </si>
  <si>
    <t>danelle@compaxpackaging.com</t>
  </si>
  <si>
    <t>x+</t>
  </si>
  <si>
    <t>x</t>
  </si>
  <si>
    <t>Lucinda Blackburn</t>
  </si>
  <si>
    <t>lblackburn@compaxpackaging.com</t>
  </si>
  <si>
    <t>Greg Bianco</t>
  </si>
  <si>
    <t>gbianco@assempak.com</t>
  </si>
  <si>
    <t>LogisticsPlus</t>
  </si>
  <si>
    <t>Danielle Minges</t>
  </si>
  <si>
    <t>danielle.minges@logisticsplus.com</t>
  </si>
  <si>
    <t>Calyx Support</t>
  </si>
  <si>
    <t>calyx@logisticsplus.com</t>
  </si>
  <si>
    <t>HLoeb</t>
  </si>
  <si>
    <t>Jon Goodwin</t>
  </si>
  <si>
    <t>Geoff Foucher</t>
  </si>
  <si>
    <t>Francine Denis</t>
  </si>
  <si>
    <t>FDenis@hloeb.com</t>
  </si>
  <si>
    <t>Source One</t>
  </si>
  <si>
    <t>Carol Sroor</t>
  </si>
  <si>
    <t>carols@spectragraphics.com</t>
  </si>
  <si>
    <t>dstill@printarts.com</t>
  </si>
  <si>
    <t>Propeller</t>
  </si>
  <si>
    <t>ng@sourceonepackagingllc.com</t>
  </si>
  <si>
    <t>Vision AF</t>
  </si>
  <si>
    <t>Kevin (Boyd) Johnson</t>
  </si>
  <si>
    <t>boydjohnson@ups.com</t>
  </si>
  <si>
    <t>K Sidrane</t>
  </si>
  <si>
    <t>Carol Johnson</t>
  </si>
  <si>
    <t>cajohnson9@fedex.com</t>
  </si>
  <si>
    <t>achristensen@propellerinc.com</t>
  </si>
  <si>
    <t>Inhance Technologies</t>
  </si>
  <si>
    <t>tracy@visionaf.com</t>
  </si>
  <si>
    <t>n/a</t>
  </si>
  <si>
    <t>CHR</t>
  </si>
  <si>
    <t>Carter DC</t>
  </si>
  <si>
    <t>What</t>
  </si>
  <si>
    <t>Where</t>
  </si>
  <si>
    <t>Contact</t>
  </si>
  <si>
    <t>Base/lid injection molding</t>
  </si>
  <si>
    <t>Lid injection molding</t>
  </si>
  <si>
    <t>CA</t>
  </si>
  <si>
    <t>Buena Park, CA</t>
  </si>
  <si>
    <t>Label Printing</t>
  </si>
  <si>
    <t>Lenexa, KS</t>
  </si>
  <si>
    <t xml:space="preserve">Zinga </t>
  </si>
  <si>
    <t>Ventura, CA</t>
  </si>
  <si>
    <t>University Park, IL</t>
  </si>
  <si>
    <t>Label Printing- Upcoming</t>
  </si>
  <si>
    <t>Olathe, KS</t>
  </si>
  <si>
    <t>W2G</t>
  </si>
  <si>
    <t>3rd Party Warehouse (Funoco)</t>
  </si>
  <si>
    <t>Lindon, UT</t>
  </si>
  <si>
    <t>Stick N' Grip Productioon</t>
  </si>
  <si>
    <t>Anjou (QC)</t>
  </si>
  <si>
    <t>Wellpack</t>
  </si>
  <si>
    <t>Tube Injection Molding</t>
  </si>
  <si>
    <t>Jiangmen, GU 529 075 CN</t>
  </si>
  <si>
    <t>Tube Label Printer</t>
  </si>
  <si>
    <t>Cohoes, NY</t>
  </si>
  <si>
    <t>Glass production</t>
  </si>
  <si>
    <t>Lohr, Germany</t>
  </si>
  <si>
    <t xml:space="preserve">Repacker / FEP Insertion </t>
  </si>
  <si>
    <t>Vineland, NJ</t>
  </si>
  <si>
    <t>Outerbox (250 case count)</t>
  </si>
  <si>
    <t>Severn, MD</t>
  </si>
  <si>
    <t>FEP Thermoform Production</t>
  </si>
  <si>
    <t>Holliston, MA</t>
  </si>
  <si>
    <t>New Bedford, MA</t>
  </si>
  <si>
    <t>TBD</t>
  </si>
  <si>
    <t>Box vendor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</si>
</sst>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0.0%"/>
    <numFmt numFmtId="166" formatCode="&quot;$&quot;#,##0.00"/>
  </numFmts>
  <fonts count="18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color theme="1"/>
      <name val="Arial"/>
      <scheme val="minor"/>
    </font>
    <font>
      <b/>
      <sz val="7.0"/>
      <color theme="1"/>
      <name val="Arial"/>
    </font>
    <font>
      <sz val="8.0"/>
      <color rgb="FF000000"/>
      <name val="Arial"/>
    </font>
    <font>
      <color theme="1"/>
      <name val="Arial"/>
    </font>
    <font>
      <b/>
      <sz val="8.0"/>
      <color rgb="FF000000"/>
      <name val="Arial"/>
    </font>
    <font>
      <u/>
      <sz val="12.0"/>
      <color rgb="FF0000FF"/>
      <name val="Arial"/>
    </font>
    <font>
      <sz val="12.0"/>
      <color rgb="FF1E1F21"/>
      <name val="-apple-system"/>
    </font>
    <font>
      <sz val="12.0"/>
      <color rgb="FF202124"/>
      <name val="Google Sans"/>
    </font>
    <font>
      <u/>
      <color rgb="FF0000FF"/>
      <name val="Arial"/>
    </font>
    <font>
      <color rgb="FF000000"/>
      <name val="Arial"/>
    </font>
    <font>
      <b/>
      <color rgb="FF000000"/>
      <name val="Arial"/>
    </font>
    <font>
      <b/>
      <color theme="1"/>
      <name val="Arial"/>
    </font>
    <font>
      <sz val="11.0"/>
      <color rgb="FF222222"/>
      <name val="Arial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D9EAD3"/>
        <bgColor rgb="FFD9EAD3"/>
      </patternFill>
    </fill>
    <fill>
      <patternFill patternType="solid">
        <fgColor rgb="FFF9F8F8"/>
        <bgColor rgb="FFF9F8F8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9" xfId="0" applyAlignment="1" applyFont="1" applyNumberFormat="1">
      <alignment horizontal="center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shrinkToFit="0" vertical="bottom" wrapText="0"/>
    </xf>
    <xf borderId="0" fillId="2" fontId="1" numFmtId="0" xfId="0" applyAlignment="1" applyFill="1" applyFont="1">
      <alignment horizontal="left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2" fontId="1" numFmtId="165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left" shrinkToFit="0" wrapText="0"/>
    </xf>
    <xf borderId="0" fillId="0" fontId="3" numFmtId="166" xfId="0" applyAlignment="1" applyFont="1" applyNumberFormat="1">
      <alignment horizontal="center" readingOrder="0" shrinkToFit="0" wrapText="0"/>
    </xf>
    <xf borderId="0" fillId="0" fontId="3" numFmtId="166" xfId="0" applyAlignment="1" applyFont="1" applyNumberFormat="1">
      <alignment horizontal="center" shrinkToFit="0" wrapText="0"/>
    </xf>
    <xf borderId="0" fillId="0" fontId="2" numFmtId="2" xfId="0" applyAlignment="1" applyFont="1" applyNumberFormat="1">
      <alignment horizontal="center" shrinkToFit="0" vertical="bottom" wrapText="0"/>
    </xf>
    <xf borderId="0" fillId="0" fontId="4" numFmtId="165" xfId="0" applyFont="1" applyNumberFormat="1"/>
    <xf borderId="0" fillId="2" fontId="5" numFmtId="0" xfId="0" applyAlignment="1" applyFont="1">
      <alignment horizontal="left" readingOrder="0" shrinkToFit="0" vertical="bottom" wrapText="0"/>
    </xf>
    <xf borderId="0" fillId="2" fontId="5" numFmtId="0" xfId="0" applyAlignment="1" applyFont="1">
      <alignment horizontal="right" readingOrder="0" shrinkToFit="0" vertical="bottom" wrapText="0"/>
    </xf>
    <xf borderId="1" fillId="0" fontId="3" numFmtId="166" xfId="0" applyAlignment="1" applyBorder="1" applyFont="1" applyNumberFormat="1">
      <alignment horizontal="center" readingOrder="0" shrinkToFit="0" wrapText="0"/>
    </xf>
    <xf borderId="1" fillId="0" fontId="2" numFmtId="165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2" xfId="0" applyAlignment="1" applyBorder="1" applyFont="1" applyNumberFormat="1">
      <alignment horizontal="center" shrinkToFit="0" vertical="bottom" wrapText="0"/>
    </xf>
    <xf borderId="0" fillId="0" fontId="6" numFmtId="0" xfId="0" applyAlignment="1" applyFont="1">
      <alignment horizontal="left" readingOrder="0" shrinkToFit="0" wrapText="0"/>
    </xf>
    <xf borderId="0" fillId="0" fontId="6" numFmtId="166" xfId="0" applyAlignment="1" applyFont="1" applyNumberFormat="1">
      <alignment horizontal="right" readingOrder="0" shrinkToFit="0" wrapText="0"/>
    </xf>
    <xf borderId="0" fillId="0" fontId="3" numFmtId="0" xfId="0" applyAlignment="1" applyFont="1">
      <alignment horizontal="center" readingOrder="0" shrinkToFit="0" wrapText="0"/>
    </xf>
    <xf borderId="1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165" xfId="0" applyFont="1" applyNumberFormat="1"/>
    <xf borderId="0" fillId="0" fontId="8" numFmtId="0" xfId="0" applyAlignment="1" applyFont="1">
      <alignment horizontal="left" readingOrder="0" shrinkToFit="0" wrapText="0"/>
    </xf>
    <xf borderId="0" fillId="0" fontId="8" numFmtId="166" xfId="0" applyAlignment="1" applyFont="1" applyNumberFormat="1">
      <alignment horizontal="right" readingOrder="0" shrinkToFit="0" wrapText="0"/>
    </xf>
    <xf borderId="0" fillId="0" fontId="6" numFmtId="0" xfId="0" applyAlignment="1" applyFont="1">
      <alignment horizontal="left" shrinkToFit="0" wrapText="0"/>
    </xf>
    <xf borderId="0" fillId="0" fontId="6" numFmtId="166" xfId="0" applyAlignment="1" applyFont="1" applyNumberFormat="1">
      <alignment horizontal="right" shrinkToFit="0" wrapText="0"/>
    </xf>
    <xf borderId="0" fillId="0" fontId="8" numFmtId="0" xfId="0" applyAlignment="1" applyFont="1">
      <alignment horizontal="left" shrinkToFit="0" wrapText="0"/>
    </xf>
    <xf borderId="0" fillId="0" fontId="8" numFmtId="166" xfId="0" applyAlignment="1" applyFont="1" applyNumberFormat="1">
      <alignment horizontal="right" shrinkToFit="0" wrapText="0"/>
    </xf>
    <xf borderId="0" fillId="0" fontId="7" numFmtId="0" xfId="0" applyFont="1"/>
    <xf borderId="0" fillId="0" fontId="7" numFmtId="166" xfId="0" applyFont="1" applyNumberFormat="1"/>
    <xf borderId="2" fillId="0" fontId="7" numFmtId="0" xfId="0" applyAlignment="1" applyBorder="1" applyFont="1">
      <alignment horizontal="center"/>
    </xf>
    <xf borderId="2" fillId="0" fontId="7" numFmtId="9" xfId="0" applyAlignment="1" applyBorder="1" applyFont="1" applyNumberFormat="1">
      <alignment horizontal="center"/>
    </xf>
    <xf borderId="0" fillId="0" fontId="7" numFmtId="0" xfId="0" applyAlignment="1" applyFont="1">
      <alignment horizontal="center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4" fontId="10" numFmtId="0" xfId="0" applyAlignment="1" applyBorder="1" applyFill="1" applyFont="1">
      <alignment horizontal="center" vertical="center"/>
    </xf>
    <xf borderId="2" fillId="0" fontId="7" numFmtId="0" xfId="0" applyAlignment="1" applyBorder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2" fillId="0" fontId="11" numFmtId="0" xfId="0" applyBorder="1" applyFont="1"/>
    <xf borderId="0" fillId="5" fontId="7" numFmtId="0" xfId="0" applyFont="1"/>
    <xf borderId="2" fillId="0" fontId="12" numFmtId="0" xfId="0" applyAlignment="1" applyBorder="1" applyFont="1">
      <alignment horizontal="center" shrinkToFit="0" vertical="center" wrapText="1"/>
    </xf>
    <xf quotePrefix="1" borderId="2" fillId="0" fontId="7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shrinkToFit="0" vertical="bottom" wrapText="1"/>
    </xf>
    <xf borderId="0" fillId="0" fontId="13" numFmtId="0" xfId="0" applyAlignment="1" applyFont="1">
      <alignment horizontal="center" shrinkToFit="0" wrapText="1"/>
    </xf>
    <xf borderId="0" fillId="0" fontId="14" numFmtId="0" xfId="0" applyAlignment="1" applyFont="1">
      <alignment horizontal="left" shrinkToFit="0" wrapText="1"/>
    </xf>
    <xf borderId="0" fillId="0" fontId="13" numFmtId="0" xfId="0" applyAlignment="1" applyFont="1">
      <alignment horizontal="left" shrinkToFit="0" wrapText="1"/>
    </xf>
    <xf borderId="0" fillId="0" fontId="13" numFmtId="0" xfId="0" applyAlignment="1" applyFont="1">
      <alignment horizontal="left" shrinkToFit="0" wrapText="0"/>
    </xf>
    <xf borderId="0" fillId="0" fontId="7" numFmtId="0" xfId="0" applyAlignment="1" applyFont="1">
      <alignment horizontal="left" shrinkToFit="0" vertical="bottom" wrapText="0"/>
    </xf>
    <xf borderId="0" fillId="6" fontId="7" numFmtId="0" xfId="0" applyAlignment="1" applyFill="1" applyFont="1">
      <alignment horizontal="left" shrinkToFit="0" vertical="bottom" wrapText="1"/>
    </xf>
    <xf borderId="1" fillId="0" fontId="15" numFmtId="0" xfId="0" applyBorder="1" applyFont="1"/>
    <xf borderId="0" fillId="0" fontId="16" numFmtId="0" xfId="0" applyFont="1"/>
    <xf borderId="0" fillId="0" fontId="17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zak.callahan@hp.com" TargetMode="External"/><Relationship Id="rId2" Type="http://schemas.openxmlformats.org/officeDocument/2006/relationships/hyperlink" Target="mailto:orders@mactac.com" TargetMode="External"/><Relationship Id="rId3" Type="http://schemas.openxmlformats.org/officeDocument/2006/relationships/hyperlink" Target="mailto:avery@propellerinc.com" TargetMode="External"/><Relationship Id="rId4" Type="http://schemas.openxmlformats.org/officeDocument/2006/relationships/hyperlink" Target="mailto:jodie@virtualpackaging.com" TargetMode="External"/><Relationship Id="rId5" Type="http://schemas.openxmlformats.org/officeDocument/2006/relationships/hyperlink" Target="mailto:tlewis@ctiinks.com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GjABU6zS7XJy6rj0ZlOCSebVMWpm_Jfbz8fSb1cgnM/edit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0sLzwo4J4NIbcXuxdYeOisV2B_0Vyve27Kpn8S22iw4/edit" TargetMode="External"/><Relationship Id="rId2" Type="http://schemas.openxmlformats.org/officeDocument/2006/relationships/hyperlink" Target="https://drive.google.com/drive/folders/1wNBpidzv04r86Z6tzwcPOlZRxGnuzA2J?usp=drive_link" TargetMode="External"/><Relationship Id="rId3" Type="http://schemas.openxmlformats.org/officeDocument/2006/relationships/hyperlink" Target="https://docs.google.com/spreadsheets/d/1RGjABU6zS7XJy6rj0ZlOCSebVMWpm_Jfbz8fSb1cgnM/edit" TargetMode="External"/><Relationship Id="rId4" Type="http://schemas.openxmlformats.org/officeDocument/2006/relationships/hyperlink" Target="https://docs.google.com/spreadsheets/d/1RGjABU6zS7XJy6rj0ZlOCSebVMWpm_Jfbz8fSb1cgnM/edit" TargetMode="External"/><Relationship Id="rId5" Type="http://schemas.openxmlformats.org/officeDocument/2006/relationships/hyperlink" Target="https://docs.google.com/spreadsheets/d/1RGjABU6zS7XJy6rj0ZlOCSebVMWpm_Jfbz8fSb1cgnM/edit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85.88"/>
    <col customWidth="1" min="3" max="3" width="57.0"/>
    <col customWidth="1" min="4" max="6" width="12.63"/>
  </cols>
  <sheetData>
    <row r="1" ht="15.75" customHeight="1">
      <c r="A1" s="1" t="s">
        <v>0</v>
      </c>
      <c r="B1" s="1" t="s">
        <v>1</v>
      </c>
      <c r="C1" s="2" t="s">
        <v>2</v>
      </c>
    </row>
    <row r="2" ht="15.75" customHeight="1">
      <c r="A2" s="1" t="s">
        <v>3</v>
      </c>
      <c r="B2" s="3" t="s">
        <v>4</v>
      </c>
      <c r="C2" s="4">
        <v>0.35</v>
      </c>
    </row>
    <row r="3" ht="15.75" customHeight="1">
      <c r="A3" s="1" t="s">
        <v>5</v>
      </c>
      <c r="B3" s="3" t="s">
        <v>6</v>
      </c>
      <c r="C3" s="4">
        <v>0.2</v>
      </c>
    </row>
    <row r="4" ht="15.75" customHeight="1">
      <c r="A4" s="1" t="s">
        <v>7</v>
      </c>
      <c r="B4" s="3" t="s">
        <v>8</v>
      </c>
      <c r="C4" s="4">
        <v>0.2</v>
      </c>
    </row>
    <row r="5" ht="15.75" customHeight="1">
      <c r="A5" s="1" t="s">
        <v>9</v>
      </c>
      <c r="B5" s="3" t="s">
        <v>10</v>
      </c>
      <c r="C5" s="4">
        <v>0.15</v>
      </c>
    </row>
    <row r="6" ht="15.75" customHeight="1">
      <c r="A6" s="1" t="s">
        <v>11</v>
      </c>
      <c r="B6" s="3" t="s">
        <v>12</v>
      </c>
      <c r="C6" s="4">
        <v>0.1</v>
      </c>
    </row>
    <row r="7" ht="15.75" customHeight="1">
      <c r="A7" s="3"/>
      <c r="B7" s="3"/>
      <c r="C7" s="3"/>
    </row>
    <row r="8" ht="15.75" customHeight="1">
      <c r="A8" s="3"/>
      <c r="B8" s="3"/>
      <c r="C8" s="3"/>
    </row>
    <row r="9" ht="15.75" customHeight="1">
      <c r="A9" s="1" t="s">
        <v>3</v>
      </c>
      <c r="B9" s="3"/>
      <c r="C9" s="3"/>
    </row>
    <row r="10" ht="15.75" customHeight="1">
      <c r="A10" s="1" t="s">
        <v>13</v>
      </c>
      <c r="B10" s="1" t="s">
        <v>14</v>
      </c>
      <c r="C10" s="1" t="s">
        <v>15</v>
      </c>
    </row>
    <row r="11" ht="15.75" customHeight="1">
      <c r="A11" s="1" t="s">
        <v>16</v>
      </c>
      <c r="B11" s="3" t="s">
        <v>17</v>
      </c>
      <c r="C11" s="3" t="s">
        <v>18</v>
      </c>
    </row>
    <row r="12" ht="15.75" customHeight="1">
      <c r="A12" s="1" t="s">
        <v>19</v>
      </c>
      <c r="B12" s="3" t="s">
        <v>20</v>
      </c>
      <c r="C12" s="3" t="s">
        <v>21</v>
      </c>
    </row>
    <row r="13" ht="15.75" customHeight="1">
      <c r="A13" s="1" t="s">
        <v>22</v>
      </c>
      <c r="B13" s="3" t="s">
        <v>23</v>
      </c>
      <c r="C13" s="3" t="s">
        <v>24</v>
      </c>
    </row>
    <row r="14" ht="15.75" customHeight="1">
      <c r="A14" s="1" t="s">
        <v>25</v>
      </c>
      <c r="B14" s="3" t="s">
        <v>26</v>
      </c>
      <c r="C14" s="3" t="s">
        <v>27</v>
      </c>
    </row>
    <row r="15" ht="15.75" customHeight="1">
      <c r="A15" s="1" t="s">
        <v>28</v>
      </c>
      <c r="B15" s="3" t="s">
        <v>29</v>
      </c>
      <c r="C15" s="3" t="s">
        <v>30</v>
      </c>
    </row>
    <row r="16" ht="15.75" customHeight="1">
      <c r="A16" s="3"/>
      <c r="B16" s="3"/>
      <c r="C16" s="3"/>
    </row>
    <row r="17" ht="15.75" customHeight="1">
      <c r="A17" s="1" t="s">
        <v>5</v>
      </c>
      <c r="B17" s="3"/>
      <c r="C17" s="3"/>
    </row>
    <row r="18" ht="15.75" customHeight="1">
      <c r="A18" s="1" t="s">
        <v>13</v>
      </c>
      <c r="B18" s="1" t="s">
        <v>0</v>
      </c>
      <c r="C18" s="1" t="s">
        <v>31</v>
      </c>
    </row>
    <row r="19" ht="15.75" customHeight="1">
      <c r="A19" s="2">
        <v>5.0</v>
      </c>
      <c r="B19" s="5" t="s">
        <v>32</v>
      </c>
      <c r="C19" s="3" t="s">
        <v>33</v>
      </c>
    </row>
    <row r="20" ht="15.75" customHeight="1">
      <c r="A20" s="2">
        <v>4.0</v>
      </c>
      <c r="B20" s="5" t="s">
        <v>34</v>
      </c>
      <c r="C20" s="3"/>
    </row>
    <row r="21" ht="15.75" customHeight="1">
      <c r="A21" s="2">
        <v>3.0</v>
      </c>
      <c r="B21" s="5" t="s">
        <v>35</v>
      </c>
      <c r="C21" s="3" t="s">
        <v>36</v>
      </c>
    </row>
    <row r="22" ht="15.75" customHeight="1">
      <c r="A22" s="2">
        <v>2.0</v>
      </c>
      <c r="B22" s="5" t="s">
        <v>34</v>
      </c>
      <c r="C22" s="3"/>
    </row>
    <row r="23" ht="15.75" customHeight="1">
      <c r="A23" s="2">
        <v>1.0</v>
      </c>
      <c r="B23" s="5" t="s">
        <v>37</v>
      </c>
      <c r="C23" s="3" t="s">
        <v>38</v>
      </c>
    </row>
    <row r="24" ht="15.75" customHeight="1">
      <c r="A24" s="3"/>
      <c r="B24" s="3"/>
      <c r="C24" s="3"/>
    </row>
    <row r="25" ht="15.75" customHeight="1">
      <c r="A25" s="1" t="s">
        <v>7</v>
      </c>
      <c r="B25" s="3"/>
      <c r="C25" s="3"/>
    </row>
    <row r="26" ht="15.75" customHeight="1">
      <c r="A26" s="1" t="s">
        <v>13</v>
      </c>
      <c r="B26" s="1" t="s">
        <v>0</v>
      </c>
      <c r="C26" s="1" t="s">
        <v>31</v>
      </c>
    </row>
    <row r="27" ht="15.75" customHeight="1">
      <c r="A27" s="2">
        <v>5.0</v>
      </c>
      <c r="B27" s="3" t="s">
        <v>39</v>
      </c>
      <c r="C27" s="3" t="s">
        <v>40</v>
      </c>
    </row>
    <row r="28" ht="15.75" customHeight="1">
      <c r="A28" s="2">
        <v>4.0</v>
      </c>
      <c r="B28" s="3" t="s">
        <v>41</v>
      </c>
      <c r="C28" s="3" t="s">
        <v>42</v>
      </c>
    </row>
    <row r="29" ht="15.75" customHeight="1">
      <c r="A29" s="2">
        <v>3.0</v>
      </c>
      <c r="B29" s="3" t="s">
        <v>43</v>
      </c>
      <c r="C29" s="3" t="s">
        <v>44</v>
      </c>
    </row>
    <row r="30" ht="15.75" customHeight="1">
      <c r="A30" s="2">
        <v>2.0</v>
      </c>
      <c r="B30" s="3" t="s">
        <v>45</v>
      </c>
      <c r="C30" s="3" t="s">
        <v>46</v>
      </c>
    </row>
    <row r="31" ht="15.75" customHeight="1">
      <c r="A31" s="2">
        <v>1.0</v>
      </c>
      <c r="B31" s="3" t="s">
        <v>47</v>
      </c>
      <c r="C31" s="3" t="s">
        <v>48</v>
      </c>
    </row>
    <row r="32" ht="15.75" customHeight="1">
      <c r="A32" s="3"/>
      <c r="B32" s="3"/>
      <c r="C32" s="3"/>
    </row>
    <row r="33" ht="15.75" customHeight="1">
      <c r="A33" s="1" t="s">
        <v>9</v>
      </c>
      <c r="B33" s="3"/>
      <c r="C33" s="3"/>
    </row>
    <row r="34" ht="15.75" customHeight="1">
      <c r="A34" s="1" t="s">
        <v>13</v>
      </c>
      <c r="B34" s="1" t="s">
        <v>0</v>
      </c>
      <c r="C34" s="1" t="s">
        <v>31</v>
      </c>
    </row>
    <row r="35" ht="15.75" customHeight="1">
      <c r="A35" s="2">
        <v>5.0</v>
      </c>
      <c r="B35" s="3" t="s">
        <v>49</v>
      </c>
      <c r="C35" s="3" t="s">
        <v>50</v>
      </c>
    </row>
    <row r="36" ht="15.75" customHeight="1">
      <c r="A36" s="2">
        <v>4.0</v>
      </c>
      <c r="B36" s="3" t="s">
        <v>51</v>
      </c>
      <c r="C36" s="3" t="s">
        <v>52</v>
      </c>
    </row>
    <row r="37" ht="15.75" customHeight="1">
      <c r="A37" s="2">
        <v>3.0</v>
      </c>
      <c r="B37" s="3" t="s">
        <v>53</v>
      </c>
      <c r="C37" s="3" t="s">
        <v>54</v>
      </c>
    </row>
    <row r="38" ht="15.75" customHeight="1">
      <c r="A38" s="2">
        <v>2.0</v>
      </c>
      <c r="B38" s="3" t="s">
        <v>55</v>
      </c>
      <c r="C38" s="3" t="s">
        <v>56</v>
      </c>
    </row>
    <row r="39" ht="15.75" customHeight="1">
      <c r="A39" s="2">
        <v>1.0</v>
      </c>
      <c r="B39" s="3" t="s">
        <v>57</v>
      </c>
      <c r="C39" s="3" t="s">
        <v>58</v>
      </c>
    </row>
    <row r="40" ht="15.75" customHeight="1">
      <c r="A40" s="3"/>
      <c r="B40" s="3"/>
      <c r="C40" s="3"/>
    </row>
    <row r="41" ht="15.75" customHeight="1">
      <c r="A41" s="1" t="s">
        <v>11</v>
      </c>
      <c r="B41" s="3"/>
      <c r="C41" s="3"/>
    </row>
    <row r="42" ht="15.75" customHeight="1">
      <c r="A42" s="1" t="s">
        <v>13</v>
      </c>
      <c r="B42" s="1" t="s">
        <v>0</v>
      </c>
      <c r="C42" s="1" t="s">
        <v>31</v>
      </c>
    </row>
    <row r="43" ht="15.75" customHeight="1">
      <c r="A43" s="2">
        <v>5.0</v>
      </c>
      <c r="B43" s="3" t="s">
        <v>59</v>
      </c>
      <c r="C43" s="3" t="s">
        <v>60</v>
      </c>
    </row>
    <row r="44" ht="15.75" customHeight="1">
      <c r="A44" s="2">
        <v>4.0</v>
      </c>
      <c r="B44" s="3" t="s">
        <v>61</v>
      </c>
      <c r="C44" s="3" t="s">
        <v>62</v>
      </c>
    </row>
    <row r="45" ht="15.75" customHeight="1">
      <c r="A45" s="2">
        <v>3.0</v>
      </c>
      <c r="B45" s="3" t="s">
        <v>63</v>
      </c>
      <c r="C45" s="3" t="s">
        <v>64</v>
      </c>
    </row>
    <row r="46" ht="15.75" customHeight="1">
      <c r="A46" s="2">
        <v>2.0</v>
      </c>
      <c r="B46" s="3" t="s">
        <v>65</v>
      </c>
      <c r="C46" s="3" t="s">
        <v>66</v>
      </c>
    </row>
    <row r="47" ht="15.75" customHeight="1">
      <c r="A47" s="2">
        <v>1.0</v>
      </c>
      <c r="B47" s="3" t="s">
        <v>67</v>
      </c>
      <c r="C47" s="3" t="s">
        <v>68</v>
      </c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2" t="s">
        <v>69</v>
      </c>
      <c r="B52" s="6" t="s">
        <v>70</v>
      </c>
      <c r="C52" s="3"/>
    </row>
    <row r="53" ht="15.75" customHeight="1">
      <c r="A53" s="2" t="s">
        <v>71</v>
      </c>
      <c r="B53" s="6" t="s">
        <v>72</v>
      </c>
      <c r="C53" s="3"/>
    </row>
    <row r="54" ht="15.75" customHeight="1">
      <c r="A54" s="2" t="s">
        <v>73</v>
      </c>
      <c r="B54" s="6" t="s">
        <v>74</v>
      </c>
      <c r="C54" s="3"/>
    </row>
    <row r="55" ht="15.75" customHeight="1">
      <c r="A55" s="2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5"/>
    <col customWidth="1" min="2" max="2" width="22.38"/>
    <col customWidth="1" min="3" max="3" width="30.38"/>
    <col customWidth="1" min="4" max="4" width="17.75"/>
    <col customWidth="1" min="5" max="5" width="16.5"/>
    <col customWidth="1" min="6" max="6" width="14.38"/>
    <col customWidth="1" min="7" max="7" width="16.75"/>
    <col customWidth="1" min="8" max="8" width="19.38"/>
    <col customWidth="1" min="9" max="9" width="17.25"/>
    <col customWidth="1" min="10" max="10" width="18.0"/>
    <col customWidth="1" min="11" max="11" width="21.5"/>
    <col customWidth="1" min="12" max="12" width="24.0"/>
    <col customWidth="1" min="13" max="13" width="14.13"/>
    <col customWidth="1" min="14" max="14" width="11.88"/>
  </cols>
  <sheetData>
    <row r="1" ht="15.75" customHeight="1">
      <c r="A1" s="3" t="s">
        <v>75</v>
      </c>
      <c r="B1" s="7"/>
      <c r="C1" s="7">
        <v>46174.0</v>
      </c>
      <c r="D1" s="6"/>
      <c r="E1" s="6" t="s">
        <v>76</v>
      </c>
      <c r="F1" s="8"/>
      <c r="G1" s="8"/>
      <c r="H1" s="4">
        <v>0.35</v>
      </c>
      <c r="I1" s="4">
        <v>0.2</v>
      </c>
      <c r="J1" s="4">
        <v>0.2</v>
      </c>
      <c r="K1" s="4">
        <v>0.15</v>
      </c>
      <c r="L1" s="4">
        <v>0.1</v>
      </c>
      <c r="M1" s="6"/>
      <c r="N1" s="6"/>
    </row>
    <row r="2" ht="15.75" customHeight="1">
      <c r="A2" s="9" t="s">
        <v>77</v>
      </c>
      <c r="B2" s="10" t="s">
        <v>7</v>
      </c>
      <c r="C2" s="11" t="s">
        <v>78</v>
      </c>
      <c r="D2" s="10" t="s">
        <v>79</v>
      </c>
      <c r="E2" s="11" t="s">
        <v>80</v>
      </c>
      <c r="F2" s="12" t="s">
        <v>81</v>
      </c>
      <c r="G2" s="10" t="s">
        <v>82</v>
      </c>
      <c r="H2" s="11" t="s">
        <v>3</v>
      </c>
      <c r="I2" s="11" t="s">
        <v>5</v>
      </c>
      <c r="J2" s="11" t="s">
        <v>7</v>
      </c>
      <c r="K2" s="11" t="s">
        <v>9</v>
      </c>
      <c r="L2" s="11" t="s">
        <v>11</v>
      </c>
      <c r="M2" s="11" t="s">
        <v>83</v>
      </c>
      <c r="N2" s="11" t="s">
        <v>84</v>
      </c>
    </row>
    <row r="3" ht="15.75" customHeight="1">
      <c r="A3" s="13" t="s">
        <v>85</v>
      </c>
      <c r="B3" s="14" t="s">
        <v>86</v>
      </c>
      <c r="C3" s="14" t="s">
        <v>87</v>
      </c>
      <c r="D3" s="14" t="s">
        <v>88</v>
      </c>
      <c r="E3" s="15">
        <f t="shared" ref="E3:E54" si="1">iferror(VLOOKUP(A3,Q:R,2,false),0)</f>
        <v>918377.34</v>
      </c>
      <c r="F3" s="8">
        <f t="shared" ref="F3:F54" si="2">E3/(SUM($E$3:$E$40))</f>
        <v>0.3062849175</v>
      </c>
      <c r="G3" s="8">
        <f t="shared" ref="G3:G54" si="3">SUM($F$3:F3)</f>
        <v>0.3062849175</v>
      </c>
      <c r="H3" s="6">
        <v>5.0</v>
      </c>
      <c r="I3" s="6">
        <f t="shared" ref="I3:I54" si="4">IF(G3&lt;0.8,5,IF(G3&lt;0.95,3,1))</f>
        <v>5</v>
      </c>
      <c r="J3" s="6">
        <f t="shared" ref="J3:J54" si="5">IF(B3="Propritary",5,IF(B3="Long",4,IF(B3="Medium",3,IF(B3="Short",2,1))))</f>
        <v>5</v>
      </c>
      <c r="K3" s="6">
        <v>5.0</v>
      </c>
      <c r="L3" s="6">
        <v>5.0</v>
      </c>
      <c r="M3" s="16">
        <f t="shared" ref="M3:M52" si="6">SUMPRODUCT(H3:L3,$H$1:$L$1)</f>
        <v>5</v>
      </c>
      <c r="N3" s="6" t="s">
        <v>89</v>
      </c>
      <c r="O3" s="17"/>
    </row>
    <row r="4" ht="15.75" customHeight="1">
      <c r="A4" s="13" t="s">
        <v>90</v>
      </c>
      <c r="B4" s="14" t="s">
        <v>91</v>
      </c>
      <c r="C4" s="14" t="s">
        <v>92</v>
      </c>
      <c r="D4" s="14" t="s">
        <v>88</v>
      </c>
      <c r="E4" s="15">
        <f t="shared" si="1"/>
        <v>504514.92</v>
      </c>
      <c r="F4" s="8">
        <f t="shared" si="2"/>
        <v>0.1682590629</v>
      </c>
      <c r="G4" s="8">
        <f t="shared" si="3"/>
        <v>0.4745439804</v>
      </c>
      <c r="H4" s="6">
        <v>4.0</v>
      </c>
      <c r="I4" s="6">
        <f t="shared" si="4"/>
        <v>5</v>
      </c>
      <c r="J4" s="6">
        <f t="shared" si="5"/>
        <v>3</v>
      </c>
      <c r="K4" s="6">
        <v>3.0</v>
      </c>
      <c r="L4" s="6">
        <v>5.0</v>
      </c>
      <c r="M4" s="16">
        <f t="shared" si="6"/>
        <v>3.95</v>
      </c>
      <c r="N4" s="6" t="s">
        <v>89</v>
      </c>
    </row>
    <row r="5" ht="15.75" customHeight="1">
      <c r="A5" s="13" t="s">
        <v>93</v>
      </c>
      <c r="B5" s="14" t="s">
        <v>94</v>
      </c>
      <c r="C5" s="15" t="s">
        <v>95</v>
      </c>
      <c r="D5" s="14" t="s">
        <v>88</v>
      </c>
      <c r="E5" s="15">
        <f t="shared" si="1"/>
        <v>331979.79</v>
      </c>
      <c r="F5" s="8">
        <f t="shared" si="2"/>
        <v>0.1107174558</v>
      </c>
      <c r="G5" s="8">
        <f t="shared" si="3"/>
        <v>0.5852614362</v>
      </c>
      <c r="H5" s="6">
        <v>4.0</v>
      </c>
      <c r="I5" s="6">
        <f t="shared" si="4"/>
        <v>5</v>
      </c>
      <c r="J5" s="6">
        <f t="shared" si="5"/>
        <v>2</v>
      </c>
      <c r="K5" s="6">
        <v>1.0</v>
      </c>
      <c r="L5" s="6">
        <v>3.0</v>
      </c>
      <c r="M5" s="16">
        <f t="shared" si="6"/>
        <v>3.25</v>
      </c>
      <c r="N5" s="6" t="s">
        <v>96</v>
      </c>
    </row>
    <row r="6" ht="15.75" customHeight="1">
      <c r="A6" s="13" t="s">
        <v>97</v>
      </c>
      <c r="B6" s="14" t="s">
        <v>94</v>
      </c>
      <c r="C6" s="14" t="s">
        <v>98</v>
      </c>
      <c r="D6" s="14" t="s">
        <v>88</v>
      </c>
      <c r="E6" s="15">
        <f t="shared" si="1"/>
        <v>224831.89</v>
      </c>
      <c r="F6" s="8">
        <f t="shared" si="2"/>
        <v>0.07498292246</v>
      </c>
      <c r="G6" s="8">
        <f t="shared" si="3"/>
        <v>0.6602443587</v>
      </c>
      <c r="H6" s="6">
        <v>4.0</v>
      </c>
      <c r="I6" s="6">
        <f t="shared" si="4"/>
        <v>5</v>
      </c>
      <c r="J6" s="6">
        <f t="shared" si="5"/>
        <v>2</v>
      </c>
      <c r="K6" s="6">
        <v>3.0</v>
      </c>
      <c r="L6" s="6">
        <v>4.0</v>
      </c>
      <c r="M6" s="16">
        <f t="shared" si="6"/>
        <v>3.65</v>
      </c>
      <c r="N6" s="6" t="s">
        <v>89</v>
      </c>
    </row>
    <row r="7" ht="15.75" customHeight="1">
      <c r="A7" s="13" t="s">
        <v>99</v>
      </c>
      <c r="B7" s="14" t="s">
        <v>91</v>
      </c>
      <c r="C7" s="14" t="s">
        <v>100</v>
      </c>
      <c r="D7" s="14" t="s">
        <v>88</v>
      </c>
      <c r="E7" s="15">
        <f t="shared" si="1"/>
        <v>187425.85</v>
      </c>
      <c r="F7" s="8">
        <f t="shared" si="2"/>
        <v>0.0625077607</v>
      </c>
      <c r="G7" s="8">
        <f t="shared" si="3"/>
        <v>0.7227521194</v>
      </c>
      <c r="H7" s="6">
        <v>3.0</v>
      </c>
      <c r="I7" s="6">
        <f t="shared" si="4"/>
        <v>5</v>
      </c>
      <c r="J7" s="6">
        <f t="shared" si="5"/>
        <v>3</v>
      </c>
      <c r="K7" s="6">
        <v>2.0</v>
      </c>
      <c r="L7" s="6">
        <v>4.0</v>
      </c>
      <c r="M7" s="16">
        <f t="shared" si="6"/>
        <v>3.35</v>
      </c>
      <c r="N7" s="6" t="s">
        <v>96</v>
      </c>
    </row>
    <row r="8" ht="15.75" customHeight="1">
      <c r="A8" s="13" t="s">
        <v>101</v>
      </c>
      <c r="B8" s="14" t="s">
        <v>86</v>
      </c>
      <c r="C8" s="14" t="s">
        <v>102</v>
      </c>
      <c r="D8" s="14" t="s">
        <v>88</v>
      </c>
      <c r="E8" s="15">
        <f t="shared" si="1"/>
        <v>142645.94</v>
      </c>
      <c r="F8" s="8">
        <f t="shared" si="2"/>
        <v>0.04757336452</v>
      </c>
      <c r="G8" s="8">
        <f t="shared" si="3"/>
        <v>0.7703254839</v>
      </c>
      <c r="H8" s="6">
        <v>5.0</v>
      </c>
      <c r="I8" s="6">
        <f t="shared" si="4"/>
        <v>5</v>
      </c>
      <c r="J8" s="6">
        <f t="shared" si="5"/>
        <v>5</v>
      </c>
      <c r="K8" s="6">
        <v>5.0</v>
      </c>
      <c r="L8" s="6">
        <v>4.0</v>
      </c>
      <c r="M8" s="16">
        <f t="shared" si="6"/>
        <v>4.9</v>
      </c>
      <c r="N8" s="6" t="s">
        <v>89</v>
      </c>
      <c r="Q8" s="18" t="s">
        <v>103</v>
      </c>
      <c r="R8" s="19" t="s">
        <v>80</v>
      </c>
    </row>
    <row r="9" ht="15.75" customHeight="1">
      <c r="A9" s="13" t="s">
        <v>104</v>
      </c>
      <c r="B9" s="14" t="s">
        <v>91</v>
      </c>
      <c r="C9" s="20" t="s">
        <v>105</v>
      </c>
      <c r="D9" s="20" t="s">
        <v>88</v>
      </c>
      <c r="E9" s="15">
        <f t="shared" si="1"/>
        <v>92581.76</v>
      </c>
      <c r="F9" s="21">
        <f t="shared" si="2"/>
        <v>0.03087662934</v>
      </c>
      <c r="G9" s="21">
        <f t="shared" si="3"/>
        <v>0.8012021133</v>
      </c>
      <c r="H9" s="22">
        <v>3.0</v>
      </c>
      <c r="I9" s="6">
        <f t="shared" si="4"/>
        <v>3</v>
      </c>
      <c r="J9" s="6">
        <f t="shared" si="5"/>
        <v>3</v>
      </c>
      <c r="K9" s="22">
        <v>2.0</v>
      </c>
      <c r="L9" s="22">
        <v>4.0</v>
      </c>
      <c r="M9" s="23">
        <f t="shared" si="6"/>
        <v>2.95</v>
      </c>
      <c r="N9" s="22" t="s">
        <v>96</v>
      </c>
      <c r="Q9" s="24" t="s">
        <v>106</v>
      </c>
      <c r="R9" s="25">
        <v>55505.65</v>
      </c>
    </row>
    <row r="10" ht="15.75" customHeight="1">
      <c r="A10" s="13" t="s">
        <v>107</v>
      </c>
      <c r="B10" s="14" t="s">
        <v>91</v>
      </c>
      <c r="C10" s="14" t="s">
        <v>108</v>
      </c>
      <c r="D10" s="14" t="s">
        <v>88</v>
      </c>
      <c r="E10" s="15">
        <f t="shared" si="1"/>
        <v>85150.73</v>
      </c>
      <c r="F10" s="8">
        <f t="shared" si="2"/>
        <v>0.02839833168</v>
      </c>
      <c r="G10" s="8">
        <f t="shared" si="3"/>
        <v>0.8296004449</v>
      </c>
      <c r="H10" s="6">
        <v>3.0</v>
      </c>
      <c r="I10" s="6">
        <f t="shared" si="4"/>
        <v>3</v>
      </c>
      <c r="J10" s="6">
        <f t="shared" si="5"/>
        <v>3</v>
      </c>
      <c r="K10" s="6">
        <v>2.0</v>
      </c>
      <c r="L10" s="6">
        <v>3.0</v>
      </c>
      <c r="M10" s="16">
        <f t="shared" si="6"/>
        <v>2.85</v>
      </c>
      <c r="N10" s="6" t="s">
        <v>96</v>
      </c>
      <c r="Q10" s="24" t="s">
        <v>109</v>
      </c>
      <c r="R10" s="25">
        <v>2381.5</v>
      </c>
    </row>
    <row r="11" ht="15.75" customHeight="1">
      <c r="A11" s="13" t="s">
        <v>110</v>
      </c>
      <c r="B11" s="14" t="s">
        <v>111</v>
      </c>
      <c r="C11" s="14" t="s">
        <v>112</v>
      </c>
      <c r="D11" s="14" t="s">
        <v>113</v>
      </c>
      <c r="E11" s="15">
        <f t="shared" si="1"/>
        <v>79981.25</v>
      </c>
      <c r="F11" s="8">
        <f t="shared" si="2"/>
        <v>0.02667427591</v>
      </c>
      <c r="G11" s="8">
        <f t="shared" si="3"/>
        <v>0.8562747208</v>
      </c>
      <c r="H11" s="6">
        <v>4.0</v>
      </c>
      <c r="I11" s="6">
        <f t="shared" si="4"/>
        <v>3</v>
      </c>
      <c r="J11" s="6">
        <f t="shared" si="5"/>
        <v>4</v>
      </c>
      <c r="K11" s="6">
        <v>4.0</v>
      </c>
      <c r="L11" s="6">
        <v>3.0</v>
      </c>
      <c r="M11" s="16">
        <f t="shared" si="6"/>
        <v>3.7</v>
      </c>
      <c r="N11" s="6" t="s">
        <v>89</v>
      </c>
      <c r="Q11" s="24" t="s">
        <v>114</v>
      </c>
      <c r="R11" s="25">
        <v>20215.4</v>
      </c>
    </row>
    <row r="12" ht="15.75" customHeight="1">
      <c r="A12" s="13" t="s">
        <v>115</v>
      </c>
      <c r="B12" s="14" t="s">
        <v>111</v>
      </c>
      <c r="C12" s="14" t="s">
        <v>116</v>
      </c>
      <c r="D12" s="14" t="s">
        <v>88</v>
      </c>
      <c r="E12" s="15">
        <f t="shared" si="1"/>
        <v>70125.5</v>
      </c>
      <c r="F12" s="8">
        <f t="shared" si="2"/>
        <v>0.02338731809</v>
      </c>
      <c r="G12" s="8">
        <f t="shared" si="3"/>
        <v>0.8796620389</v>
      </c>
      <c r="H12" s="6">
        <v>3.0</v>
      </c>
      <c r="I12" s="6">
        <f t="shared" si="4"/>
        <v>3</v>
      </c>
      <c r="J12" s="6">
        <f t="shared" si="5"/>
        <v>4</v>
      </c>
      <c r="K12" s="6">
        <v>2.0</v>
      </c>
      <c r="L12" s="6">
        <v>3.0</v>
      </c>
      <c r="M12" s="16">
        <f t="shared" si="6"/>
        <v>3.05</v>
      </c>
      <c r="N12" s="6" t="s">
        <v>117</v>
      </c>
      <c r="Q12" s="24" t="s">
        <v>118</v>
      </c>
      <c r="R12" s="25">
        <v>20847.4</v>
      </c>
    </row>
    <row r="13" ht="15.75" customHeight="1">
      <c r="A13" s="13" t="s">
        <v>119</v>
      </c>
      <c r="B13" s="14" t="s">
        <v>94</v>
      </c>
      <c r="C13" s="14" t="s">
        <v>120</v>
      </c>
      <c r="D13" s="14" t="s">
        <v>113</v>
      </c>
      <c r="E13" s="15">
        <f t="shared" si="1"/>
        <v>49906.3</v>
      </c>
      <c r="F13" s="8">
        <f t="shared" si="2"/>
        <v>0.01664408115</v>
      </c>
      <c r="G13" s="8">
        <f t="shared" si="3"/>
        <v>0.8963061201</v>
      </c>
      <c r="H13" s="6">
        <v>3.0</v>
      </c>
      <c r="I13" s="6">
        <f t="shared" si="4"/>
        <v>3</v>
      </c>
      <c r="J13" s="6">
        <f t="shared" si="5"/>
        <v>2</v>
      </c>
      <c r="K13" s="6">
        <v>2.0</v>
      </c>
      <c r="L13" s="6">
        <v>2.0</v>
      </c>
      <c r="M13" s="16">
        <f t="shared" si="6"/>
        <v>2.55</v>
      </c>
      <c r="N13" s="6" t="s">
        <v>117</v>
      </c>
      <c r="Q13" s="24" t="s">
        <v>121</v>
      </c>
      <c r="R13" s="25">
        <v>2130.42</v>
      </c>
    </row>
    <row r="14" ht="15.75" customHeight="1">
      <c r="A14" s="13" t="s">
        <v>122</v>
      </c>
      <c r="B14" s="14" t="s">
        <v>94</v>
      </c>
      <c r="C14" s="14" t="s">
        <v>120</v>
      </c>
      <c r="D14" s="14" t="s">
        <v>88</v>
      </c>
      <c r="E14" s="15">
        <f t="shared" si="1"/>
        <v>37684.98</v>
      </c>
      <c r="F14" s="8">
        <f t="shared" si="2"/>
        <v>0.0125681901</v>
      </c>
      <c r="G14" s="8">
        <f t="shared" si="3"/>
        <v>0.9088743102</v>
      </c>
      <c r="H14" s="6">
        <v>1.0</v>
      </c>
      <c r="I14" s="6">
        <f t="shared" si="4"/>
        <v>3</v>
      </c>
      <c r="J14" s="6">
        <f t="shared" si="5"/>
        <v>2</v>
      </c>
      <c r="K14" s="6">
        <v>2.0</v>
      </c>
      <c r="L14" s="6">
        <v>2.0</v>
      </c>
      <c r="M14" s="16">
        <f t="shared" si="6"/>
        <v>1.85</v>
      </c>
      <c r="N14" s="6" t="s">
        <v>117</v>
      </c>
      <c r="Q14" s="24" t="s">
        <v>123</v>
      </c>
      <c r="R14" s="25">
        <v>1432.12</v>
      </c>
    </row>
    <row r="15" ht="15.75" customHeight="1">
      <c r="A15" s="13" t="s">
        <v>124</v>
      </c>
      <c r="B15" s="14" t="s">
        <v>91</v>
      </c>
      <c r="C15" s="14" t="s">
        <v>92</v>
      </c>
      <c r="D15" s="14" t="s">
        <v>88</v>
      </c>
      <c r="E15" s="15">
        <f t="shared" si="1"/>
        <v>33246.66</v>
      </c>
      <c r="F15" s="8">
        <f t="shared" si="2"/>
        <v>0.01108798102</v>
      </c>
      <c r="G15" s="8">
        <f t="shared" si="3"/>
        <v>0.9199622912</v>
      </c>
      <c r="H15" s="6"/>
      <c r="I15" s="6">
        <f t="shared" si="4"/>
        <v>3</v>
      </c>
      <c r="J15" s="6">
        <f t="shared" si="5"/>
        <v>3</v>
      </c>
      <c r="K15" s="6"/>
      <c r="L15" s="6"/>
      <c r="M15" s="16">
        <f t="shared" si="6"/>
        <v>1.2</v>
      </c>
      <c r="N15" s="6" t="s">
        <v>125</v>
      </c>
      <c r="Q15" s="24" t="s">
        <v>126</v>
      </c>
      <c r="R15" s="25">
        <v>3551.65</v>
      </c>
    </row>
    <row r="16" ht="15.75" customHeight="1">
      <c r="A16" s="13" t="s">
        <v>127</v>
      </c>
      <c r="B16" s="14" t="s">
        <v>111</v>
      </c>
      <c r="C16" s="14" t="s">
        <v>128</v>
      </c>
      <c r="D16" s="14" t="s">
        <v>88</v>
      </c>
      <c r="E16" s="15">
        <f t="shared" si="1"/>
        <v>28352.48</v>
      </c>
      <c r="F16" s="8">
        <f t="shared" si="2"/>
        <v>0.009455739617</v>
      </c>
      <c r="G16" s="8">
        <f t="shared" si="3"/>
        <v>0.9294180308</v>
      </c>
      <c r="H16" s="6"/>
      <c r="I16" s="6">
        <f t="shared" si="4"/>
        <v>3</v>
      </c>
      <c r="J16" s="6">
        <f t="shared" si="5"/>
        <v>4</v>
      </c>
      <c r="K16" s="6"/>
      <c r="L16" s="6"/>
      <c r="M16" s="16">
        <f t="shared" si="6"/>
        <v>1.4</v>
      </c>
      <c r="N16" s="6" t="s">
        <v>129</v>
      </c>
      <c r="Q16" s="24" t="s">
        <v>107</v>
      </c>
      <c r="R16" s="25">
        <v>85150.73</v>
      </c>
    </row>
    <row r="17" ht="15.75" customHeight="1">
      <c r="A17" s="13" t="s">
        <v>130</v>
      </c>
      <c r="B17" s="14" t="s">
        <v>111</v>
      </c>
      <c r="C17" s="14" t="s">
        <v>131</v>
      </c>
      <c r="D17" s="14" t="s">
        <v>88</v>
      </c>
      <c r="E17" s="15">
        <f t="shared" si="1"/>
        <v>28141.27</v>
      </c>
      <c r="F17" s="8">
        <f t="shared" si="2"/>
        <v>0.009385299685</v>
      </c>
      <c r="G17" s="8">
        <f t="shared" si="3"/>
        <v>0.9388033305</v>
      </c>
      <c r="H17" s="6">
        <v>1.0</v>
      </c>
      <c r="I17" s="6">
        <f t="shared" si="4"/>
        <v>3</v>
      </c>
      <c r="J17" s="6">
        <f t="shared" si="5"/>
        <v>4</v>
      </c>
      <c r="K17" s="6">
        <v>4.0</v>
      </c>
      <c r="L17" s="6">
        <v>5.0</v>
      </c>
      <c r="M17" s="16">
        <f t="shared" si="6"/>
        <v>2.85</v>
      </c>
      <c r="N17" s="6" t="s">
        <v>96</v>
      </c>
      <c r="Q17" s="24" t="s">
        <v>132</v>
      </c>
      <c r="R17" s="25">
        <v>95809.0</v>
      </c>
    </row>
    <row r="18" ht="15.75" customHeight="1">
      <c r="A18" s="13" t="s">
        <v>133</v>
      </c>
      <c r="B18" s="14" t="s">
        <v>91</v>
      </c>
      <c r="C18" s="14" t="s">
        <v>134</v>
      </c>
      <c r="D18" s="14" t="s">
        <v>88</v>
      </c>
      <c r="E18" s="15">
        <f t="shared" si="1"/>
        <v>23654.17</v>
      </c>
      <c r="F18" s="8">
        <f t="shared" si="2"/>
        <v>0.007888822155</v>
      </c>
      <c r="G18" s="8">
        <f t="shared" si="3"/>
        <v>0.9466921527</v>
      </c>
      <c r="H18" s="6">
        <v>3.0</v>
      </c>
      <c r="I18" s="6">
        <f t="shared" si="4"/>
        <v>3</v>
      </c>
      <c r="J18" s="6">
        <f t="shared" si="5"/>
        <v>3</v>
      </c>
      <c r="K18" s="6">
        <v>3.0</v>
      </c>
      <c r="L18" s="6">
        <v>3.0</v>
      </c>
      <c r="M18" s="16">
        <f t="shared" si="6"/>
        <v>3</v>
      </c>
      <c r="N18" s="6" t="s">
        <v>96</v>
      </c>
      <c r="Q18" s="24" t="s">
        <v>135</v>
      </c>
      <c r="R18" s="25">
        <v>10150.0</v>
      </c>
    </row>
    <row r="19" ht="15.75" customHeight="1">
      <c r="A19" s="13" t="s">
        <v>136</v>
      </c>
      <c r="B19" s="14" t="s">
        <v>111</v>
      </c>
      <c r="C19" s="26" t="s">
        <v>137</v>
      </c>
      <c r="D19" s="14" t="s">
        <v>88</v>
      </c>
      <c r="E19" s="15">
        <f t="shared" si="1"/>
        <v>20997.51</v>
      </c>
      <c r="F19" s="8">
        <f t="shared" si="2"/>
        <v>0.007002808473</v>
      </c>
      <c r="G19" s="8">
        <f t="shared" si="3"/>
        <v>0.9536949611</v>
      </c>
      <c r="H19" s="6">
        <v>2.0</v>
      </c>
      <c r="I19" s="6">
        <f t="shared" si="4"/>
        <v>1</v>
      </c>
      <c r="J19" s="6">
        <f t="shared" si="5"/>
        <v>4</v>
      </c>
      <c r="K19" s="6">
        <v>1.0</v>
      </c>
      <c r="L19" s="6">
        <v>3.0</v>
      </c>
      <c r="M19" s="16">
        <f t="shared" si="6"/>
        <v>2.15</v>
      </c>
      <c r="N19" s="6" t="s">
        <v>117</v>
      </c>
      <c r="Q19" s="24" t="s">
        <v>138</v>
      </c>
      <c r="R19" s="25">
        <v>8000.0</v>
      </c>
    </row>
    <row r="20" ht="15.75" customHeight="1">
      <c r="A20" s="13" t="s">
        <v>139</v>
      </c>
      <c r="B20" s="14" t="s">
        <v>91</v>
      </c>
      <c r="C20" s="27" t="s">
        <v>140</v>
      </c>
      <c r="D20" s="20" t="s">
        <v>88</v>
      </c>
      <c r="E20" s="15">
        <f t="shared" si="1"/>
        <v>18657.39</v>
      </c>
      <c r="F20" s="21">
        <f t="shared" si="2"/>
        <v>0.006222362974</v>
      </c>
      <c r="G20" s="21">
        <f t="shared" si="3"/>
        <v>0.9599173241</v>
      </c>
      <c r="H20" s="22"/>
      <c r="I20" s="6">
        <f t="shared" si="4"/>
        <v>1</v>
      </c>
      <c r="J20" s="6">
        <f t="shared" si="5"/>
        <v>3</v>
      </c>
      <c r="K20" s="22"/>
      <c r="L20" s="22"/>
      <c r="M20" s="23">
        <f t="shared" si="6"/>
        <v>0.8</v>
      </c>
      <c r="N20" s="22" t="s">
        <v>141</v>
      </c>
      <c r="Q20" s="24" t="s">
        <v>142</v>
      </c>
      <c r="R20" s="25">
        <v>8000.0</v>
      </c>
    </row>
    <row r="21" ht="15.75" customHeight="1">
      <c r="A21" s="13" t="s">
        <v>143</v>
      </c>
      <c r="B21" s="14" t="s">
        <v>94</v>
      </c>
      <c r="C21" s="14" t="s">
        <v>144</v>
      </c>
      <c r="D21" s="14" t="s">
        <v>88</v>
      </c>
      <c r="E21" s="15">
        <f t="shared" si="1"/>
        <v>18163</v>
      </c>
      <c r="F21" s="8">
        <f t="shared" si="2"/>
        <v>0.006057480639</v>
      </c>
      <c r="G21" s="8">
        <f t="shared" si="3"/>
        <v>0.9659748047</v>
      </c>
      <c r="H21" s="6">
        <v>4.0</v>
      </c>
      <c r="I21" s="6">
        <f t="shared" si="4"/>
        <v>1</v>
      </c>
      <c r="J21" s="6">
        <f t="shared" si="5"/>
        <v>2</v>
      </c>
      <c r="K21" s="6">
        <v>3.0</v>
      </c>
      <c r="L21" s="6">
        <v>2.0</v>
      </c>
      <c r="M21" s="16">
        <f t="shared" si="6"/>
        <v>2.65</v>
      </c>
      <c r="N21" s="6" t="s">
        <v>96</v>
      </c>
      <c r="Q21" s="24" t="s">
        <v>145</v>
      </c>
      <c r="R21" s="25">
        <v>-2432.18</v>
      </c>
    </row>
    <row r="22" ht="15.75" customHeight="1">
      <c r="A22" s="13" t="s">
        <v>146</v>
      </c>
      <c r="B22" s="14" t="s">
        <v>94</v>
      </c>
      <c r="C22" s="28" t="s">
        <v>147</v>
      </c>
      <c r="D22" s="14" t="s">
        <v>88</v>
      </c>
      <c r="E22" s="15">
        <f t="shared" si="1"/>
        <v>13588.21</v>
      </c>
      <c r="F22" s="8">
        <f t="shared" si="2"/>
        <v>0.004531757914</v>
      </c>
      <c r="G22" s="8">
        <f t="shared" si="3"/>
        <v>0.9705065627</v>
      </c>
      <c r="H22" s="6"/>
      <c r="I22" s="6">
        <f t="shared" si="4"/>
        <v>1</v>
      </c>
      <c r="J22" s="6">
        <f t="shared" si="5"/>
        <v>2</v>
      </c>
      <c r="K22" s="6"/>
      <c r="L22" s="6"/>
      <c r="M22" s="16">
        <f t="shared" si="6"/>
        <v>0.6</v>
      </c>
      <c r="N22" s="6" t="s">
        <v>148</v>
      </c>
      <c r="Q22" s="24" t="s">
        <v>149</v>
      </c>
      <c r="R22" s="25">
        <v>2500.0</v>
      </c>
    </row>
    <row r="23" ht="15.75" customHeight="1">
      <c r="A23" s="13" t="s">
        <v>150</v>
      </c>
      <c r="B23" s="14" t="s">
        <v>94</v>
      </c>
      <c r="C23" s="26" t="s">
        <v>147</v>
      </c>
      <c r="D23" s="14" t="s">
        <v>88</v>
      </c>
      <c r="E23" s="15">
        <f t="shared" si="1"/>
        <v>13500</v>
      </c>
      <c r="F23" s="8">
        <f t="shared" si="2"/>
        <v>0.004502339295</v>
      </c>
      <c r="G23" s="8">
        <f t="shared" si="3"/>
        <v>0.975008902</v>
      </c>
      <c r="H23" s="6">
        <v>1.0</v>
      </c>
      <c r="I23" s="6">
        <f t="shared" si="4"/>
        <v>1</v>
      </c>
      <c r="J23" s="6">
        <f t="shared" si="5"/>
        <v>2</v>
      </c>
      <c r="K23" s="6">
        <v>3.0</v>
      </c>
      <c r="L23" s="6">
        <v>2.0</v>
      </c>
      <c r="M23" s="16">
        <f t="shared" si="6"/>
        <v>1.6</v>
      </c>
      <c r="N23" s="6" t="s">
        <v>117</v>
      </c>
      <c r="Q23" s="24" t="s">
        <v>151</v>
      </c>
      <c r="R23" s="25">
        <v>400.0</v>
      </c>
    </row>
    <row r="24" ht="15.75" customHeight="1">
      <c r="A24" s="13" t="s">
        <v>152</v>
      </c>
      <c r="B24" s="14" t="s">
        <v>94</v>
      </c>
      <c r="C24" s="28" t="s">
        <v>147</v>
      </c>
      <c r="D24" s="14" t="s">
        <v>88</v>
      </c>
      <c r="E24" s="15">
        <f t="shared" si="1"/>
        <v>11680.39</v>
      </c>
      <c r="F24" s="8">
        <f t="shared" si="2"/>
        <v>0.003895487325</v>
      </c>
      <c r="G24" s="8">
        <f t="shared" si="3"/>
        <v>0.9789043893</v>
      </c>
      <c r="H24" s="6"/>
      <c r="I24" s="6">
        <f t="shared" si="4"/>
        <v>1</v>
      </c>
      <c r="J24" s="6">
        <f t="shared" si="5"/>
        <v>2</v>
      </c>
      <c r="K24" s="6"/>
      <c r="L24" s="6"/>
      <c r="M24" s="16">
        <f t="shared" si="6"/>
        <v>0.6</v>
      </c>
      <c r="N24" s="6" t="s">
        <v>153</v>
      </c>
      <c r="Q24" s="24" t="s">
        <v>152</v>
      </c>
      <c r="R24" s="25">
        <v>11680.39</v>
      </c>
    </row>
    <row r="25" ht="15.75" customHeight="1">
      <c r="A25" s="13" t="s">
        <v>154</v>
      </c>
      <c r="B25" s="14" t="s">
        <v>91</v>
      </c>
      <c r="C25" s="28" t="s">
        <v>155</v>
      </c>
      <c r="D25" s="14" t="s">
        <v>88</v>
      </c>
      <c r="E25" s="15">
        <f t="shared" si="1"/>
        <v>11512.39</v>
      </c>
      <c r="F25" s="8">
        <f t="shared" si="2"/>
        <v>0.003839458213</v>
      </c>
      <c r="G25" s="8">
        <f t="shared" si="3"/>
        <v>0.9827438475</v>
      </c>
      <c r="H25" s="6"/>
      <c r="I25" s="6">
        <f t="shared" si="4"/>
        <v>1</v>
      </c>
      <c r="J25" s="6">
        <f t="shared" si="5"/>
        <v>3</v>
      </c>
      <c r="K25" s="6"/>
      <c r="L25" s="6"/>
      <c r="M25" s="16">
        <f t="shared" si="6"/>
        <v>0.8</v>
      </c>
      <c r="N25" s="6" t="s">
        <v>156</v>
      </c>
      <c r="Q25" s="24" t="s">
        <v>157</v>
      </c>
      <c r="R25" s="25">
        <v>3354.33</v>
      </c>
    </row>
    <row r="26" ht="15.75" customHeight="1">
      <c r="A26" s="13" t="s">
        <v>158</v>
      </c>
      <c r="B26" s="14" t="s">
        <v>94</v>
      </c>
      <c r="C26" s="15" t="s">
        <v>159</v>
      </c>
      <c r="D26" s="14" t="s">
        <v>113</v>
      </c>
      <c r="E26" s="15">
        <f t="shared" si="1"/>
        <v>10000</v>
      </c>
      <c r="F26" s="8">
        <f t="shared" si="2"/>
        <v>0.003335066145</v>
      </c>
      <c r="G26" s="8">
        <f t="shared" si="3"/>
        <v>0.9860789136</v>
      </c>
      <c r="H26" s="6">
        <v>1.0</v>
      </c>
      <c r="I26" s="6">
        <f t="shared" si="4"/>
        <v>1</v>
      </c>
      <c r="J26" s="6">
        <f t="shared" si="5"/>
        <v>2</v>
      </c>
      <c r="K26" s="6">
        <v>1.0</v>
      </c>
      <c r="L26" s="6">
        <v>2.0</v>
      </c>
      <c r="M26" s="16">
        <f t="shared" si="6"/>
        <v>1.3</v>
      </c>
      <c r="N26" s="6" t="s">
        <v>117</v>
      </c>
      <c r="Q26" s="24" t="s">
        <v>160</v>
      </c>
      <c r="R26" s="25">
        <v>6150.0</v>
      </c>
    </row>
    <row r="27" ht="15.75" customHeight="1">
      <c r="A27" s="13" t="s">
        <v>161</v>
      </c>
      <c r="B27" s="14" t="s">
        <v>94</v>
      </c>
      <c r="C27" s="15" t="s">
        <v>95</v>
      </c>
      <c r="D27" s="14" t="s">
        <v>88</v>
      </c>
      <c r="E27" s="15">
        <f t="shared" si="1"/>
        <v>7541.37</v>
      </c>
      <c r="F27" s="8">
        <f t="shared" si="2"/>
        <v>0.002515096777</v>
      </c>
      <c r="G27" s="8">
        <f t="shared" si="3"/>
        <v>0.9885940104</v>
      </c>
      <c r="H27" s="6">
        <v>1.0</v>
      </c>
      <c r="I27" s="6">
        <f t="shared" si="4"/>
        <v>1</v>
      </c>
      <c r="J27" s="6">
        <f t="shared" si="5"/>
        <v>2</v>
      </c>
      <c r="K27" s="6">
        <v>1.0</v>
      </c>
      <c r="L27" s="6">
        <v>2.0</v>
      </c>
      <c r="M27" s="16">
        <f t="shared" si="6"/>
        <v>1.3</v>
      </c>
      <c r="N27" s="6" t="s">
        <v>117</v>
      </c>
      <c r="Q27" s="24" t="s">
        <v>162</v>
      </c>
      <c r="R27" s="25">
        <v>11000.0</v>
      </c>
    </row>
    <row r="28" ht="15.75" customHeight="1">
      <c r="A28" s="13" t="s">
        <v>163</v>
      </c>
      <c r="B28" s="14" t="s">
        <v>94</v>
      </c>
      <c r="C28" s="14" t="s">
        <v>108</v>
      </c>
      <c r="D28" s="14" t="s">
        <v>88</v>
      </c>
      <c r="E28" s="15">
        <f t="shared" si="1"/>
        <v>6550.12</v>
      </c>
      <c r="F28" s="8">
        <f t="shared" si="2"/>
        <v>0.002184508346</v>
      </c>
      <c r="G28" s="8">
        <f t="shared" si="3"/>
        <v>0.9907785188</v>
      </c>
      <c r="H28" s="6">
        <v>3.0</v>
      </c>
      <c r="I28" s="6">
        <f t="shared" si="4"/>
        <v>1</v>
      </c>
      <c r="J28" s="6">
        <f t="shared" si="5"/>
        <v>2</v>
      </c>
      <c r="K28" s="6">
        <v>2.0</v>
      </c>
      <c r="L28" s="6">
        <v>3.0</v>
      </c>
      <c r="M28" s="16">
        <f t="shared" si="6"/>
        <v>2.25</v>
      </c>
      <c r="N28" s="6" t="s">
        <v>117</v>
      </c>
      <c r="Q28" s="24" t="s">
        <v>85</v>
      </c>
      <c r="R28" s="25">
        <v>918377.34</v>
      </c>
    </row>
    <row r="29" ht="15.75" customHeight="1">
      <c r="A29" s="13" t="s">
        <v>164</v>
      </c>
      <c r="B29" s="14" t="s">
        <v>91</v>
      </c>
      <c r="C29" s="28" t="s">
        <v>165</v>
      </c>
      <c r="D29" s="14" t="s">
        <v>88</v>
      </c>
      <c r="E29" s="15">
        <f t="shared" si="1"/>
        <v>5065.73</v>
      </c>
      <c r="F29" s="8">
        <f t="shared" si="2"/>
        <v>0.001689454462</v>
      </c>
      <c r="G29" s="8">
        <f t="shared" si="3"/>
        <v>0.9924679732</v>
      </c>
      <c r="H29" s="6"/>
      <c r="I29" s="6">
        <f t="shared" si="4"/>
        <v>1</v>
      </c>
      <c r="J29" s="6">
        <f t="shared" si="5"/>
        <v>3</v>
      </c>
      <c r="K29" s="6"/>
      <c r="L29" s="6"/>
      <c r="M29" s="16">
        <f t="shared" si="6"/>
        <v>0.8</v>
      </c>
      <c r="N29" s="6" t="s">
        <v>166</v>
      </c>
      <c r="Q29" s="24" t="s">
        <v>167</v>
      </c>
      <c r="R29" s="25">
        <v>60238.0</v>
      </c>
    </row>
    <row r="30" ht="15.75" customHeight="1">
      <c r="A30" s="13" t="s">
        <v>168</v>
      </c>
      <c r="B30" s="14" t="s">
        <v>86</v>
      </c>
      <c r="C30" s="14" t="s">
        <v>169</v>
      </c>
      <c r="D30" s="14" t="s">
        <v>88</v>
      </c>
      <c r="E30" s="15">
        <f t="shared" si="1"/>
        <v>4642.2</v>
      </c>
      <c r="F30" s="8">
        <f t="shared" si="2"/>
        <v>0.001548204406</v>
      </c>
      <c r="G30" s="8">
        <f t="shared" si="3"/>
        <v>0.9940161776</v>
      </c>
      <c r="H30" s="6">
        <v>4.0</v>
      </c>
      <c r="I30" s="6">
        <f t="shared" si="4"/>
        <v>1</v>
      </c>
      <c r="J30" s="6">
        <f t="shared" si="5"/>
        <v>5</v>
      </c>
      <c r="K30" s="6">
        <v>1.0</v>
      </c>
      <c r="L30" s="6">
        <v>3.0</v>
      </c>
      <c r="M30" s="16">
        <f t="shared" si="6"/>
        <v>3.05</v>
      </c>
      <c r="N30" s="6" t="s">
        <v>96</v>
      </c>
      <c r="Q30" s="24" t="s">
        <v>170</v>
      </c>
      <c r="R30" s="25">
        <v>8905.32</v>
      </c>
    </row>
    <row r="31" ht="15.75" customHeight="1">
      <c r="A31" s="13" t="s">
        <v>171</v>
      </c>
      <c r="B31" s="14" t="s">
        <v>91</v>
      </c>
      <c r="C31" s="28" t="s">
        <v>165</v>
      </c>
      <c r="D31" s="14" t="s">
        <v>88</v>
      </c>
      <c r="E31" s="15">
        <f t="shared" si="1"/>
        <v>4470</v>
      </c>
      <c r="F31" s="8">
        <f t="shared" si="2"/>
        <v>0.001490774567</v>
      </c>
      <c r="G31" s="8">
        <f t="shared" si="3"/>
        <v>0.9955069522</v>
      </c>
      <c r="H31" s="6"/>
      <c r="I31" s="6">
        <f t="shared" si="4"/>
        <v>1</v>
      </c>
      <c r="J31" s="6">
        <f t="shared" si="5"/>
        <v>3</v>
      </c>
      <c r="K31" s="6"/>
      <c r="L31" s="6"/>
      <c r="M31" s="16">
        <f t="shared" si="6"/>
        <v>0.8</v>
      </c>
      <c r="N31" s="6" t="s">
        <v>172</v>
      </c>
      <c r="Q31" s="24" t="s">
        <v>173</v>
      </c>
      <c r="R31" s="25">
        <v>3000.0</v>
      </c>
    </row>
    <row r="32" ht="15.75" customHeight="1">
      <c r="A32" s="13" t="s">
        <v>126</v>
      </c>
      <c r="B32" s="14" t="s">
        <v>94</v>
      </c>
      <c r="C32" s="15" t="s">
        <v>95</v>
      </c>
      <c r="D32" s="14" t="s">
        <v>88</v>
      </c>
      <c r="E32" s="15">
        <f t="shared" si="1"/>
        <v>3551.65</v>
      </c>
      <c r="F32" s="8">
        <f t="shared" si="2"/>
        <v>0.001184498767</v>
      </c>
      <c r="G32" s="8">
        <f t="shared" si="3"/>
        <v>0.996691451</v>
      </c>
      <c r="H32" s="6">
        <v>1.0</v>
      </c>
      <c r="I32" s="6">
        <f t="shared" si="4"/>
        <v>1</v>
      </c>
      <c r="J32" s="6">
        <f t="shared" si="5"/>
        <v>2</v>
      </c>
      <c r="K32" s="6">
        <v>1.0</v>
      </c>
      <c r="L32" s="6">
        <v>3.0</v>
      </c>
      <c r="M32" s="16">
        <f t="shared" si="6"/>
        <v>1.4</v>
      </c>
      <c r="N32" s="6" t="s">
        <v>117</v>
      </c>
      <c r="Q32" s="24" t="s">
        <v>174</v>
      </c>
      <c r="R32" s="25">
        <v>1600.0</v>
      </c>
    </row>
    <row r="33" ht="15.75" customHeight="1">
      <c r="A33" s="13" t="s">
        <v>175</v>
      </c>
      <c r="B33" s="14" t="s">
        <v>111</v>
      </c>
      <c r="C33" s="26" t="s">
        <v>176</v>
      </c>
      <c r="D33" s="14" t="s">
        <v>88</v>
      </c>
      <c r="E33" s="15">
        <f t="shared" si="1"/>
        <v>2400</v>
      </c>
      <c r="F33" s="8">
        <f t="shared" si="2"/>
        <v>0.0008004158747</v>
      </c>
      <c r="G33" s="8">
        <f t="shared" si="3"/>
        <v>0.9974918668</v>
      </c>
      <c r="H33" s="6">
        <v>4.0</v>
      </c>
      <c r="I33" s="6">
        <f t="shared" si="4"/>
        <v>1</v>
      </c>
      <c r="J33" s="6">
        <f t="shared" si="5"/>
        <v>4</v>
      </c>
      <c r="K33" s="6">
        <v>3.0</v>
      </c>
      <c r="L33" s="6">
        <v>3.0</v>
      </c>
      <c r="M33" s="16">
        <f t="shared" si="6"/>
        <v>3.15</v>
      </c>
      <c r="N33" s="6" t="s">
        <v>96</v>
      </c>
      <c r="Q33" s="24" t="s">
        <v>177</v>
      </c>
      <c r="R33" s="25">
        <v>876.8</v>
      </c>
    </row>
    <row r="34" ht="15.75" customHeight="1">
      <c r="A34" s="13" t="s">
        <v>178</v>
      </c>
      <c r="B34" s="14" t="s">
        <v>94</v>
      </c>
      <c r="C34" s="15" t="s">
        <v>95</v>
      </c>
      <c r="D34" s="14" t="s">
        <v>88</v>
      </c>
      <c r="E34" s="15">
        <f t="shared" si="1"/>
        <v>2271.2</v>
      </c>
      <c r="F34" s="8">
        <f t="shared" si="2"/>
        <v>0.0007574602228</v>
      </c>
      <c r="G34" s="8">
        <f t="shared" si="3"/>
        <v>0.9982493271</v>
      </c>
      <c r="H34" s="6">
        <v>3.0</v>
      </c>
      <c r="I34" s="6">
        <f t="shared" si="4"/>
        <v>1</v>
      </c>
      <c r="J34" s="6">
        <f t="shared" si="5"/>
        <v>2</v>
      </c>
      <c r="K34" s="6">
        <v>1.0</v>
      </c>
      <c r="L34" s="6">
        <v>3.0</v>
      </c>
      <c r="M34" s="16">
        <f t="shared" si="6"/>
        <v>2.1</v>
      </c>
      <c r="N34" s="6" t="s">
        <v>117</v>
      </c>
      <c r="Q34" s="24" t="s">
        <v>127</v>
      </c>
      <c r="R34" s="25">
        <v>28352.48</v>
      </c>
    </row>
    <row r="35" ht="15.75" customHeight="1">
      <c r="A35" s="13" t="s">
        <v>179</v>
      </c>
      <c r="B35" s="14" t="s">
        <v>91</v>
      </c>
      <c r="C35" s="14" t="s">
        <v>180</v>
      </c>
      <c r="D35" s="14" t="s">
        <v>88</v>
      </c>
      <c r="E35" s="15">
        <f t="shared" si="1"/>
        <v>1580.55</v>
      </c>
      <c r="F35" s="8">
        <f t="shared" si="2"/>
        <v>0.0005271238795</v>
      </c>
      <c r="G35" s="8">
        <f t="shared" si="3"/>
        <v>0.9987764509</v>
      </c>
      <c r="H35" s="6">
        <v>3.0</v>
      </c>
      <c r="I35" s="6">
        <f t="shared" si="4"/>
        <v>1</v>
      </c>
      <c r="J35" s="6">
        <f t="shared" si="5"/>
        <v>3</v>
      </c>
      <c r="K35" s="6">
        <v>2.0</v>
      </c>
      <c r="L35" s="6">
        <v>3.0</v>
      </c>
      <c r="M35" s="16">
        <f t="shared" si="6"/>
        <v>2.45</v>
      </c>
      <c r="N35" s="6" t="s">
        <v>117</v>
      </c>
      <c r="Q35" s="24" t="s">
        <v>181</v>
      </c>
      <c r="R35" s="25">
        <v>20480.94</v>
      </c>
    </row>
    <row r="36" ht="15.75" customHeight="1">
      <c r="A36" s="13" t="s">
        <v>123</v>
      </c>
      <c r="B36" s="14" t="s">
        <v>91</v>
      </c>
      <c r="C36" s="14" t="s">
        <v>169</v>
      </c>
      <c r="D36" s="14" t="s">
        <v>88</v>
      </c>
      <c r="E36" s="15">
        <f t="shared" si="1"/>
        <v>1432.12</v>
      </c>
      <c r="F36" s="8">
        <f t="shared" si="2"/>
        <v>0.0004776214927</v>
      </c>
      <c r="G36" s="8">
        <f t="shared" si="3"/>
        <v>0.9992540724</v>
      </c>
      <c r="H36" s="6">
        <v>3.0</v>
      </c>
      <c r="I36" s="6">
        <f t="shared" si="4"/>
        <v>1</v>
      </c>
      <c r="J36" s="6">
        <f t="shared" si="5"/>
        <v>3</v>
      </c>
      <c r="K36" s="6">
        <v>2.0</v>
      </c>
      <c r="L36" s="6">
        <v>3.0</v>
      </c>
      <c r="M36" s="16">
        <f t="shared" si="6"/>
        <v>2.45</v>
      </c>
      <c r="N36" s="6" t="s">
        <v>117</v>
      </c>
      <c r="Q36" s="24" t="s">
        <v>90</v>
      </c>
      <c r="R36" s="25">
        <v>504514.92</v>
      </c>
    </row>
    <row r="37" ht="15.75" customHeight="1">
      <c r="A37" s="13" t="s">
        <v>177</v>
      </c>
      <c r="B37" s="14" t="s">
        <v>94</v>
      </c>
      <c r="C37" s="28" t="s">
        <v>147</v>
      </c>
      <c r="D37" s="14" t="s">
        <v>88</v>
      </c>
      <c r="E37" s="15">
        <f t="shared" si="1"/>
        <v>876.8</v>
      </c>
      <c r="F37" s="8">
        <f t="shared" si="2"/>
        <v>0.0002924185996</v>
      </c>
      <c r="G37" s="8">
        <f t="shared" si="3"/>
        <v>0.999546491</v>
      </c>
      <c r="H37" s="6"/>
      <c r="I37" s="6">
        <f t="shared" si="4"/>
        <v>1</v>
      </c>
      <c r="J37" s="6">
        <f t="shared" si="5"/>
        <v>2</v>
      </c>
      <c r="K37" s="6"/>
      <c r="L37" s="6"/>
      <c r="M37" s="16">
        <f t="shared" si="6"/>
        <v>0.6</v>
      </c>
      <c r="N37" s="6" t="s">
        <v>182</v>
      </c>
      <c r="Q37" s="24" t="s">
        <v>183</v>
      </c>
      <c r="R37" s="25">
        <v>6254.11</v>
      </c>
    </row>
    <row r="38" ht="15.75" customHeight="1">
      <c r="A38" s="13" t="s">
        <v>184</v>
      </c>
      <c r="B38" s="14" t="s">
        <v>94</v>
      </c>
      <c r="C38" s="28" t="s">
        <v>147</v>
      </c>
      <c r="D38" s="14" t="s">
        <v>88</v>
      </c>
      <c r="E38" s="15">
        <f t="shared" si="1"/>
        <v>486.44</v>
      </c>
      <c r="F38" s="8">
        <f t="shared" si="2"/>
        <v>0.0001622309575</v>
      </c>
      <c r="G38" s="8">
        <f t="shared" si="3"/>
        <v>0.999708722</v>
      </c>
      <c r="H38" s="6"/>
      <c r="I38" s="6">
        <f t="shared" si="4"/>
        <v>1</v>
      </c>
      <c r="J38" s="6">
        <f t="shared" si="5"/>
        <v>2</v>
      </c>
      <c r="K38" s="6"/>
      <c r="L38" s="6"/>
      <c r="M38" s="16">
        <f t="shared" si="6"/>
        <v>0.6</v>
      </c>
      <c r="N38" s="6" t="s">
        <v>185</v>
      </c>
      <c r="Q38" s="24" t="s">
        <v>186</v>
      </c>
      <c r="R38" s="25">
        <v>1979.69</v>
      </c>
    </row>
    <row r="39" ht="15.75" customHeight="1">
      <c r="A39" s="13" t="s">
        <v>187</v>
      </c>
      <c r="B39" s="14" t="s">
        <v>94</v>
      </c>
      <c r="C39" s="14" t="s">
        <v>188</v>
      </c>
      <c r="D39" s="14" t="s">
        <v>88</v>
      </c>
      <c r="E39" s="15">
        <f t="shared" si="1"/>
        <v>460.8</v>
      </c>
      <c r="F39" s="8">
        <f t="shared" si="2"/>
        <v>0.000153679848</v>
      </c>
      <c r="G39" s="8">
        <f t="shared" si="3"/>
        <v>0.9998624018</v>
      </c>
      <c r="H39" s="6">
        <v>2.0</v>
      </c>
      <c r="I39" s="6">
        <f t="shared" si="4"/>
        <v>1</v>
      </c>
      <c r="J39" s="6">
        <f t="shared" si="5"/>
        <v>2</v>
      </c>
      <c r="K39" s="6">
        <v>2.0</v>
      </c>
      <c r="L39" s="6">
        <v>2.0</v>
      </c>
      <c r="M39" s="16">
        <f t="shared" si="6"/>
        <v>1.8</v>
      </c>
      <c r="N39" s="6" t="s">
        <v>117</v>
      </c>
      <c r="Q39" s="24" t="s">
        <v>189</v>
      </c>
      <c r="R39" s="25">
        <v>40339.57</v>
      </c>
    </row>
    <row r="40" ht="15.75" customHeight="1">
      <c r="A40" s="13" t="s">
        <v>190</v>
      </c>
      <c r="B40" s="14" t="s">
        <v>91</v>
      </c>
      <c r="C40" s="29" t="s">
        <v>169</v>
      </c>
      <c r="D40" s="14" t="s">
        <v>88</v>
      </c>
      <c r="E40" s="15">
        <f t="shared" si="1"/>
        <v>412.58</v>
      </c>
      <c r="F40" s="8">
        <f t="shared" si="2"/>
        <v>0.000137598159</v>
      </c>
      <c r="G40" s="8">
        <f t="shared" si="3"/>
        <v>1</v>
      </c>
      <c r="H40" s="6"/>
      <c r="I40" s="6">
        <f t="shared" si="4"/>
        <v>1</v>
      </c>
      <c r="J40" s="6">
        <f t="shared" si="5"/>
        <v>3</v>
      </c>
      <c r="K40" s="6"/>
      <c r="L40" s="6"/>
      <c r="M40" s="16">
        <f t="shared" si="6"/>
        <v>0.8</v>
      </c>
      <c r="N40" s="6" t="s">
        <v>191</v>
      </c>
      <c r="Q40" s="24" t="s">
        <v>192</v>
      </c>
      <c r="R40" s="25">
        <v>3647.0</v>
      </c>
    </row>
    <row r="41" ht="15.75" customHeight="1">
      <c r="A41" s="13" t="s">
        <v>193</v>
      </c>
      <c r="B41" s="14" t="s">
        <v>94</v>
      </c>
      <c r="C41" s="14" t="s">
        <v>144</v>
      </c>
      <c r="D41" s="14" t="s">
        <v>88</v>
      </c>
      <c r="E41" s="15">
        <f t="shared" si="1"/>
        <v>317.78</v>
      </c>
      <c r="F41" s="8">
        <f t="shared" si="2"/>
        <v>0.0001059817319</v>
      </c>
      <c r="G41" s="8">
        <f t="shared" si="3"/>
        <v>1.000105982</v>
      </c>
      <c r="H41" s="6">
        <v>1.0</v>
      </c>
      <c r="I41" s="6">
        <f t="shared" si="4"/>
        <v>1</v>
      </c>
      <c r="J41" s="6">
        <f t="shared" si="5"/>
        <v>2</v>
      </c>
      <c r="K41" s="6">
        <v>3.0</v>
      </c>
      <c r="L41" s="6">
        <v>2.0</v>
      </c>
      <c r="M41" s="16">
        <f t="shared" si="6"/>
        <v>1.6</v>
      </c>
      <c r="N41" s="6" t="s">
        <v>117</v>
      </c>
      <c r="Q41" s="24" t="s">
        <v>161</v>
      </c>
      <c r="R41" s="25">
        <v>7541.37</v>
      </c>
    </row>
    <row r="42" ht="15.75" customHeight="1">
      <c r="A42" s="13" t="s">
        <v>194</v>
      </c>
      <c r="B42" s="14" t="s">
        <v>111</v>
      </c>
      <c r="C42" s="26" t="s">
        <v>195</v>
      </c>
      <c r="D42" s="14" t="s">
        <v>88</v>
      </c>
      <c r="E42" s="15">
        <f t="shared" si="1"/>
        <v>0</v>
      </c>
      <c r="F42" s="8">
        <f t="shared" si="2"/>
        <v>0</v>
      </c>
      <c r="G42" s="8">
        <f t="shared" si="3"/>
        <v>1.000105982</v>
      </c>
      <c r="H42" s="6">
        <v>4.0</v>
      </c>
      <c r="I42" s="6">
        <f t="shared" si="4"/>
        <v>1</v>
      </c>
      <c r="J42" s="6">
        <f t="shared" si="5"/>
        <v>4</v>
      </c>
      <c r="K42" s="6">
        <v>5.0</v>
      </c>
      <c r="L42" s="6">
        <v>4.0</v>
      </c>
      <c r="M42" s="16">
        <f t="shared" si="6"/>
        <v>3.55</v>
      </c>
      <c r="N42" s="6" t="s">
        <v>89</v>
      </c>
      <c r="Q42" s="24" t="s">
        <v>130</v>
      </c>
      <c r="R42" s="25">
        <v>28141.27</v>
      </c>
    </row>
    <row r="43" ht="15.75" customHeight="1">
      <c r="A43" s="13" t="s">
        <v>196</v>
      </c>
      <c r="B43" s="14" t="s">
        <v>111</v>
      </c>
      <c r="C43" s="14" t="s">
        <v>197</v>
      </c>
      <c r="D43" s="14" t="s">
        <v>88</v>
      </c>
      <c r="E43" s="15">
        <f t="shared" si="1"/>
        <v>0</v>
      </c>
      <c r="F43" s="8">
        <f t="shared" si="2"/>
        <v>0</v>
      </c>
      <c r="G43" s="8">
        <f t="shared" si="3"/>
        <v>1.000105982</v>
      </c>
      <c r="H43" s="6">
        <v>4.0</v>
      </c>
      <c r="I43" s="6">
        <f t="shared" si="4"/>
        <v>1</v>
      </c>
      <c r="J43" s="6">
        <f t="shared" si="5"/>
        <v>4</v>
      </c>
      <c r="K43" s="6">
        <v>4.0</v>
      </c>
      <c r="L43" s="6">
        <v>5.0</v>
      </c>
      <c r="M43" s="16">
        <f t="shared" si="6"/>
        <v>3.5</v>
      </c>
      <c r="N43" s="6" t="s">
        <v>89</v>
      </c>
      <c r="Q43" s="24" t="s">
        <v>198</v>
      </c>
      <c r="R43" s="25">
        <v>49420.86</v>
      </c>
    </row>
    <row r="44" ht="15.75" customHeight="1">
      <c r="A44" s="13" t="s">
        <v>199</v>
      </c>
      <c r="B44" s="14" t="s">
        <v>86</v>
      </c>
      <c r="C44" s="26" t="s">
        <v>200</v>
      </c>
      <c r="D44" s="14" t="s">
        <v>88</v>
      </c>
      <c r="E44" s="15">
        <f t="shared" si="1"/>
        <v>0</v>
      </c>
      <c r="F44" s="8">
        <f t="shared" si="2"/>
        <v>0</v>
      </c>
      <c r="G44" s="8">
        <f t="shared" si="3"/>
        <v>1.000105982</v>
      </c>
      <c r="H44" s="6">
        <v>3.0</v>
      </c>
      <c r="I44" s="6">
        <f t="shared" si="4"/>
        <v>1</v>
      </c>
      <c r="J44" s="6">
        <f t="shared" si="5"/>
        <v>5</v>
      </c>
      <c r="K44" s="6">
        <v>3.0</v>
      </c>
      <c r="L44" s="6">
        <v>3.0</v>
      </c>
      <c r="M44" s="16">
        <f t="shared" si="6"/>
        <v>3</v>
      </c>
      <c r="N44" s="6" t="s">
        <v>96</v>
      </c>
      <c r="Q44" s="24" t="s">
        <v>201</v>
      </c>
      <c r="R44" s="25">
        <v>472.0</v>
      </c>
    </row>
    <row r="45" ht="15.75" customHeight="1">
      <c r="A45" s="13" t="s">
        <v>202</v>
      </c>
      <c r="B45" s="14" t="s">
        <v>94</v>
      </c>
      <c r="C45" s="14" t="s">
        <v>203</v>
      </c>
      <c r="D45" s="14" t="s">
        <v>88</v>
      </c>
      <c r="E45" s="15">
        <f t="shared" si="1"/>
        <v>0</v>
      </c>
      <c r="F45" s="8">
        <f t="shared" si="2"/>
        <v>0</v>
      </c>
      <c r="G45" s="8">
        <f t="shared" si="3"/>
        <v>1.000105982</v>
      </c>
      <c r="H45" s="6">
        <v>1.0</v>
      </c>
      <c r="I45" s="6">
        <f t="shared" si="4"/>
        <v>1</v>
      </c>
      <c r="J45" s="6">
        <f t="shared" si="5"/>
        <v>2</v>
      </c>
      <c r="K45" s="6">
        <v>3.0</v>
      </c>
      <c r="L45" s="6">
        <v>2.0</v>
      </c>
      <c r="M45" s="16">
        <f t="shared" si="6"/>
        <v>1.6</v>
      </c>
      <c r="N45" s="6" t="s">
        <v>117</v>
      </c>
      <c r="Q45" s="24" t="s">
        <v>204</v>
      </c>
      <c r="R45" s="25">
        <v>14215.63</v>
      </c>
    </row>
    <row r="46" ht="15.75" customHeight="1">
      <c r="A46" s="13" t="s">
        <v>205</v>
      </c>
      <c r="B46" s="14" t="s">
        <v>94</v>
      </c>
      <c r="C46" s="14" t="s">
        <v>180</v>
      </c>
      <c r="D46" s="14" t="s">
        <v>88</v>
      </c>
      <c r="E46" s="15">
        <f t="shared" si="1"/>
        <v>0</v>
      </c>
      <c r="F46" s="8">
        <f t="shared" si="2"/>
        <v>0</v>
      </c>
      <c r="G46" s="8">
        <f t="shared" si="3"/>
        <v>1.000105982</v>
      </c>
      <c r="H46" s="6">
        <v>1.0</v>
      </c>
      <c r="I46" s="6">
        <f t="shared" si="4"/>
        <v>1</v>
      </c>
      <c r="J46" s="6">
        <f t="shared" si="5"/>
        <v>2</v>
      </c>
      <c r="K46" s="6">
        <v>3.0</v>
      </c>
      <c r="L46" s="6">
        <v>2.0</v>
      </c>
      <c r="M46" s="16">
        <f t="shared" si="6"/>
        <v>1.6</v>
      </c>
      <c r="N46" s="6" t="s">
        <v>117</v>
      </c>
      <c r="Q46" s="24" t="s">
        <v>206</v>
      </c>
      <c r="R46" s="25">
        <v>3110.19</v>
      </c>
    </row>
    <row r="47" ht="15.75" customHeight="1">
      <c r="A47" s="13" t="s">
        <v>207</v>
      </c>
      <c r="B47" s="14" t="s">
        <v>94</v>
      </c>
      <c r="C47" s="14" t="s">
        <v>100</v>
      </c>
      <c r="D47" s="14" t="s">
        <v>88</v>
      </c>
      <c r="E47" s="15">
        <f t="shared" si="1"/>
        <v>0</v>
      </c>
      <c r="F47" s="8">
        <f t="shared" si="2"/>
        <v>0</v>
      </c>
      <c r="G47" s="8">
        <f t="shared" si="3"/>
        <v>1.000105982</v>
      </c>
      <c r="H47" s="6">
        <v>1.0</v>
      </c>
      <c r="I47" s="6">
        <f t="shared" si="4"/>
        <v>1</v>
      </c>
      <c r="J47" s="6">
        <f t="shared" si="5"/>
        <v>2</v>
      </c>
      <c r="K47" s="6">
        <v>2.0</v>
      </c>
      <c r="L47" s="6">
        <v>2.0</v>
      </c>
      <c r="M47" s="16">
        <f t="shared" si="6"/>
        <v>1.45</v>
      </c>
      <c r="N47" s="6" t="s">
        <v>117</v>
      </c>
      <c r="Q47" s="24" t="s">
        <v>208</v>
      </c>
      <c r="R47" s="25">
        <v>378.61</v>
      </c>
    </row>
    <row r="48" ht="15.75" customHeight="1">
      <c r="A48" s="13" t="s">
        <v>209</v>
      </c>
      <c r="B48" s="14" t="s">
        <v>91</v>
      </c>
      <c r="C48" s="14" t="s">
        <v>210</v>
      </c>
      <c r="D48" s="14" t="s">
        <v>88</v>
      </c>
      <c r="E48" s="15">
        <f t="shared" si="1"/>
        <v>0</v>
      </c>
      <c r="F48" s="8">
        <f t="shared" si="2"/>
        <v>0</v>
      </c>
      <c r="G48" s="8">
        <f t="shared" si="3"/>
        <v>1.000105982</v>
      </c>
      <c r="H48" s="6">
        <v>1.0</v>
      </c>
      <c r="I48" s="6">
        <f t="shared" si="4"/>
        <v>1</v>
      </c>
      <c r="J48" s="6">
        <f t="shared" si="5"/>
        <v>3</v>
      </c>
      <c r="K48" s="6">
        <v>2.0</v>
      </c>
      <c r="L48" s="6">
        <v>2.0</v>
      </c>
      <c r="M48" s="16">
        <f t="shared" si="6"/>
        <v>1.65</v>
      </c>
      <c r="N48" s="6" t="s">
        <v>117</v>
      </c>
      <c r="Q48" s="24" t="s">
        <v>211</v>
      </c>
      <c r="R48" s="25">
        <v>27000.0</v>
      </c>
    </row>
    <row r="49" ht="15.75" customHeight="1">
      <c r="A49" s="13" t="s">
        <v>212</v>
      </c>
      <c r="B49" s="14" t="s">
        <v>94</v>
      </c>
      <c r="C49" s="14" t="s">
        <v>100</v>
      </c>
      <c r="D49" s="14" t="s">
        <v>88</v>
      </c>
      <c r="E49" s="15">
        <f t="shared" si="1"/>
        <v>0</v>
      </c>
      <c r="F49" s="8">
        <f t="shared" si="2"/>
        <v>0</v>
      </c>
      <c r="G49" s="8">
        <f t="shared" si="3"/>
        <v>1.000105982</v>
      </c>
      <c r="H49" s="6">
        <v>1.0</v>
      </c>
      <c r="I49" s="6">
        <f t="shared" si="4"/>
        <v>1</v>
      </c>
      <c r="J49" s="6">
        <f t="shared" si="5"/>
        <v>2</v>
      </c>
      <c r="K49" s="6">
        <v>2.0</v>
      </c>
      <c r="L49" s="6">
        <v>2.0</v>
      </c>
      <c r="M49" s="16">
        <f t="shared" si="6"/>
        <v>1.45</v>
      </c>
      <c r="N49" s="6" t="s">
        <v>117</v>
      </c>
      <c r="Q49" s="24" t="s">
        <v>213</v>
      </c>
      <c r="R49" s="25">
        <v>4365.0</v>
      </c>
    </row>
    <row r="50" ht="15.75" customHeight="1">
      <c r="A50" s="13" t="s">
        <v>214</v>
      </c>
      <c r="B50" s="14" t="s">
        <v>94</v>
      </c>
      <c r="C50" s="15" t="s">
        <v>95</v>
      </c>
      <c r="D50" s="14" t="s">
        <v>88</v>
      </c>
      <c r="E50" s="15">
        <f t="shared" si="1"/>
        <v>0</v>
      </c>
      <c r="F50" s="8">
        <f t="shared" si="2"/>
        <v>0</v>
      </c>
      <c r="G50" s="8">
        <f t="shared" si="3"/>
        <v>1.000105982</v>
      </c>
      <c r="H50" s="6">
        <v>1.0</v>
      </c>
      <c r="I50" s="6">
        <f t="shared" si="4"/>
        <v>1</v>
      </c>
      <c r="J50" s="6">
        <f t="shared" si="5"/>
        <v>2</v>
      </c>
      <c r="K50" s="6">
        <v>1.0</v>
      </c>
      <c r="L50" s="6">
        <v>2.0</v>
      </c>
      <c r="M50" s="16">
        <f t="shared" si="6"/>
        <v>1.3</v>
      </c>
      <c r="N50" s="6" t="s">
        <v>117</v>
      </c>
      <c r="Q50" s="24" t="s">
        <v>175</v>
      </c>
      <c r="R50" s="25">
        <v>2400.0</v>
      </c>
    </row>
    <row r="51" ht="15.75" customHeight="1">
      <c r="A51" s="13" t="s">
        <v>215</v>
      </c>
      <c r="B51" s="14" t="s">
        <v>91</v>
      </c>
      <c r="C51" s="14" t="s">
        <v>98</v>
      </c>
      <c r="D51" s="14" t="s">
        <v>88</v>
      </c>
      <c r="E51" s="15">
        <f t="shared" si="1"/>
        <v>0</v>
      </c>
      <c r="F51" s="8">
        <f t="shared" si="2"/>
        <v>0</v>
      </c>
      <c r="G51" s="8">
        <f t="shared" si="3"/>
        <v>1.000105982</v>
      </c>
      <c r="H51" s="6">
        <v>1.0</v>
      </c>
      <c r="I51" s="6">
        <f t="shared" si="4"/>
        <v>1</v>
      </c>
      <c r="J51" s="6">
        <f t="shared" si="5"/>
        <v>3</v>
      </c>
      <c r="K51" s="6">
        <v>1.0</v>
      </c>
      <c r="L51" s="6">
        <v>2.0</v>
      </c>
      <c r="M51" s="16">
        <f t="shared" si="6"/>
        <v>1.5</v>
      </c>
      <c r="N51" s="6" t="s">
        <v>117</v>
      </c>
      <c r="Q51" s="24" t="s">
        <v>216</v>
      </c>
      <c r="R51" s="25">
        <v>27923.52</v>
      </c>
    </row>
    <row r="52" ht="15.75" customHeight="1">
      <c r="A52" s="13" t="s">
        <v>145</v>
      </c>
      <c r="B52" s="14" t="s">
        <v>111</v>
      </c>
      <c r="C52" s="26" t="s">
        <v>217</v>
      </c>
      <c r="D52" s="14" t="s">
        <v>218</v>
      </c>
      <c r="E52" s="15">
        <f t="shared" si="1"/>
        <v>-2432.18</v>
      </c>
      <c r="F52" s="8">
        <f t="shared" si="2"/>
        <v>-0.0008111481176</v>
      </c>
      <c r="G52" s="8">
        <f t="shared" si="3"/>
        <v>0.9992948336</v>
      </c>
      <c r="H52" s="6">
        <v>4.0</v>
      </c>
      <c r="I52" s="6">
        <f t="shared" si="4"/>
        <v>1</v>
      </c>
      <c r="J52" s="6">
        <f t="shared" si="5"/>
        <v>4</v>
      </c>
      <c r="K52" s="6">
        <v>3.0</v>
      </c>
      <c r="L52" s="6">
        <v>3.0</v>
      </c>
      <c r="M52" s="16">
        <f t="shared" si="6"/>
        <v>3.15</v>
      </c>
      <c r="N52" s="6" t="s">
        <v>96</v>
      </c>
      <c r="Q52" s="24" t="s">
        <v>101</v>
      </c>
      <c r="R52" s="25">
        <v>142645.94</v>
      </c>
    </row>
    <row r="53" ht="15.75" customHeight="1">
      <c r="A53" s="13" t="s">
        <v>219</v>
      </c>
      <c r="B53" s="14" t="s">
        <v>111</v>
      </c>
      <c r="C53" s="14" t="s">
        <v>220</v>
      </c>
      <c r="D53" s="14" t="s">
        <v>221</v>
      </c>
      <c r="E53" s="15">
        <f t="shared" si="1"/>
        <v>0</v>
      </c>
      <c r="F53" s="8">
        <f t="shared" si="2"/>
        <v>0</v>
      </c>
      <c r="G53" s="8">
        <f t="shared" si="3"/>
        <v>0.9992948336</v>
      </c>
      <c r="H53" s="6"/>
      <c r="I53" s="6">
        <f t="shared" si="4"/>
        <v>1</v>
      </c>
      <c r="J53" s="6">
        <f t="shared" si="5"/>
        <v>4</v>
      </c>
      <c r="K53" s="6"/>
      <c r="L53" s="6"/>
      <c r="M53" s="16"/>
      <c r="N53" s="6"/>
      <c r="Q53" s="24" t="s">
        <v>222</v>
      </c>
      <c r="R53" s="25">
        <v>8196.73</v>
      </c>
    </row>
    <row r="54" ht="15.75" customHeight="1">
      <c r="A54" s="13" t="s">
        <v>223</v>
      </c>
      <c r="B54" s="14" t="s">
        <v>91</v>
      </c>
      <c r="C54" s="26" t="s">
        <v>220</v>
      </c>
      <c r="D54" s="14" t="s">
        <v>113</v>
      </c>
      <c r="E54" s="15">
        <f t="shared" si="1"/>
        <v>0</v>
      </c>
      <c r="F54" s="8">
        <f t="shared" si="2"/>
        <v>0</v>
      </c>
      <c r="G54" s="8">
        <f t="shared" si="3"/>
        <v>0.9992948336</v>
      </c>
      <c r="H54" s="6"/>
      <c r="I54" s="6">
        <f t="shared" si="4"/>
        <v>1</v>
      </c>
      <c r="J54" s="6">
        <f t="shared" si="5"/>
        <v>3</v>
      </c>
      <c r="K54" s="6"/>
      <c r="L54" s="6"/>
      <c r="M54" s="16"/>
      <c r="N54" s="6"/>
      <c r="Q54" s="24" t="s">
        <v>224</v>
      </c>
      <c r="R54" s="25">
        <v>11805.84</v>
      </c>
    </row>
    <row r="55" ht="15.75" customHeight="1">
      <c r="A55" s="24"/>
      <c r="F55" s="30"/>
      <c r="G55" s="30"/>
      <c r="Q55" s="24" t="s">
        <v>168</v>
      </c>
      <c r="R55" s="25">
        <v>4642.2</v>
      </c>
    </row>
    <row r="56" ht="15.75" customHeight="1">
      <c r="A56" s="24"/>
      <c r="F56" s="30"/>
      <c r="G56" s="30"/>
      <c r="Q56" s="24" t="s">
        <v>187</v>
      </c>
      <c r="R56" s="25">
        <v>460.8</v>
      </c>
    </row>
    <row r="57" ht="15.75" customHeight="1">
      <c r="A57" s="24"/>
      <c r="F57" s="30"/>
      <c r="G57" s="30"/>
      <c r="Q57" s="24" t="s">
        <v>225</v>
      </c>
      <c r="R57" s="25">
        <v>2406.92</v>
      </c>
    </row>
    <row r="58" ht="15.75" customHeight="1">
      <c r="A58" s="24"/>
      <c r="F58" s="30"/>
      <c r="G58" s="30"/>
      <c r="Q58" s="24" t="s">
        <v>119</v>
      </c>
      <c r="R58" s="25">
        <v>49906.3</v>
      </c>
    </row>
    <row r="59" ht="15.75" customHeight="1">
      <c r="A59" s="24"/>
      <c r="F59" s="30"/>
      <c r="G59" s="30"/>
      <c r="Q59" s="24" t="s">
        <v>226</v>
      </c>
      <c r="R59" s="25">
        <v>26153.75</v>
      </c>
    </row>
    <row r="60" ht="15.75" customHeight="1">
      <c r="A60" s="24"/>
      <c r="F60" s="30"/>
      <c r="G60" s="30"/>
      <c r="Q60" s="24" t="s">
        <v>154</v>
      </c>
      <c r="R60" s="25">
        <v>11512.39</v>
      </c>
    </row>
    <row r="61" ht="15.75" customHeight="1">
      <c r="A61" s="24"/>
      <c r="F61" s="30"/>
      <c r="G61" s="30"/>
      <c r="Q61" s="24" t="s">
        <v>227</v>
      </c>
      <c r="R61" s="25">
        <v>16301.53</v>
      </c>
    </row>
    <row r="62" ht="15.75" customHeight="1">
      <c r="A62" s="24"/>
      <c r="F62" s="30"/>
      <c r="G62" s="30"/>
      <c r="Q62" s="24" t="s">
        <v>93</v>
      </c>
      <c r="R62" s="25">
        <v>331979.79</v>
      </c>
    </row>
    <row r="63" ht="15.75" customHeight="1">
      <c r="A63" s="24"/>
      <c r="F63" s="30"/>
      <c r="G63" s="30"/>
      <c r="Q63" s="24" t="s">
        <v>228</v>
      </c>
      <c r="R63" s="25">
        <v>8008.27</v>
      </c>
    </row>
    <row r="64" ht="15.75" customHeight="1">
      <c r="A64" s="24"/>
      <c r="F64" s="30"/>
      <c r="G64" s="30"/>
      <c r="Q64" s="24" t="s">
        <v>99</v>
      </c>
      <c r="R64" s="25">
        <v>187425.85</v>
      </c>
    </row>
    <row r="65" ht="15.75" customHeight="1">
      <c r="A65" s="24"/>
      <c r="F65" s="30"/>
      <c r="G65" s="30"/>
      <c r="Q65" s="24" t="s">
        <v>229</v>
      </c>
      <c r="R65" s="25">
        <v>10000.0</v>
      </c>
    </row>
    <row r="66" ht="15.75" customHeight="1">
      <c r="A66" s="24"/>
      <c r="F66" s="30"/>
      <c r="G66" s="30"/>
      <c r="Q66" s="24" t="s">
        <v>230</v>
      </c>
      <c r="R66" s="25">
        <v>13500.0</v>
      </c>
    </row>
    <row r="67" ht="15.75" customHeight="1">
      <c r="A67" s="24"/>
      <c r="F67" s="30"/>
      <c r="G67" s="30"/>
      <c r="Q67" s="24" t="s">
        <v>124</v>
      </c>
      <c r="R67" s="25">
        <v>33246.66</v>
      </c>
    </row>
    <row r="68" ht="15.75" customHeight="1">
      <c r="A68" s="24"/>
      <c r="F68" s="30"/>
      <c r="G68" s="30"/>
      <c r="Q68" s="24" t="s">
        <v>150</v>
      </c>
      <c r="R68" s="25">
        <v>13500.0</v>
      </c>
    </row>
    <row r="69" ht="15.75" customHeight="1">
      <c r="A69" s="24"/>
      <c r="F69" s="30"/>
      <c r="G69" s="30"/>
      <c r="Q69" s="24" t="s">
        <v>231</v>
      </c>
      <c r="R69" s="25">
        <v>3399.0</v>
      </c>
    </row>
    <row r="70" ht="15.75" customHeight="1">
      <c r="A70" s="24"/>
      <c r="F70" s="30"/>
      <c r="G70" s="30"/>
      <c r="Q70" s="24" t="s">
        <v>163</v>
      </c>
      <c r="R70" s="25">
        <v>6550.12</v>
      </c>
    </row>
    <row r="71" ht="15.75" customHeight="1">
      <c r="A71" s="24"/>
      <c r="F71" s="30"/>
      <c r="G71" s="30"/>
      <c r="Q71" s="24" t="s">
        <v>232</v>
      </c>
      <c r="R71" s="25">
        <v>6000.0</v>
      </c>
    </row>
    <row r="72" ht="15.75" customHeight="1">
      <c r="A72" s="24"/>
      <c r="F72" s="30"/>
      <c r="G72" s="30"/>
      <c r="Q72" s="24" t="s">
        <v>233</v>
      </c>
      <c r="R72" s="25">
        <v>1950.0</v>
      </c>
    </row>
    <row r="73" ht="15.75" customHeight="1">
      <c r="A73" s="24"/>
      <c r="F73" s="30"/>
      <c r="G73" s="30"/>
      <c r="Q73" s="24" t="s">
        <v>234</v>
      </c>
      <c r="R73" s="25">
        <v>640.0</v>
      </c>
    </row>
    <row r="74" ht="15.75" customHeight="1">
      <c r="A74" s="24"/>
      <c r="F74" s="30"/>
      <c r="G74" s="30"/>
      <c r="Q74" s="24" t="s">
        <v>235</v>
      </c>
      <c r="R74" s="25">
        <v>27172.98</v>
      </c>
    </row>
    <row r="75" ht="15.75" customHeight="1">
      <c r="A75" s="24"/>
      <c r="F75" s="30"/>
      <c r="G75" s="30"/>
      <c r="Q75" s="24" t="s">
        <v>236</v>
      </c>
      <c r="R75" s="25">
        <v>300.95</v>
      </c>
    </row>
    <row r="76" ht="15.75" customHeight="1">
      <c r="A76" s="24"/>
      <c r="F76" s="30"/>
      <c r="G76" s="30"/>
      <c r="Q76" s="24" t="s">
        <v>237</v>
      </c>
      <c r="R76" s="25">
        <v>29622.0</v>
      </c>
    </row>
    <row r="77" ht="15.75" customHeight="1">
      <c r="A77" s="24"/>
      <c r="F77" s="30"/>
      <c r="G77" s="30"/>
      <c r="Q77" s="24" t="s">
        <v>164</v>
      </c>
      <c r="R77" s="25">
        <v>5065.73</v>
      </c>
    </row>
    <row r="78" ht="15.75" customHeight="1">
      <c r="A78" s="24"/>
      <c r="F78" s="30"/>
      <c r="G78" s="30"/>
      <c r="Q78" s="24" t="s">
        <v>146</v>
      </c>
      <c r="R78" s="25">
        <v>13588.21</v>
      </c>
    </row>
    <row r="79" ht="15.75" customHeight="1">
      <c r="A79" s="24"/>
      <c r="F79" s="30"/>
      <c r="G79" s="30"/>
      <c r="Q79" s="24" t="s">
        <v>238</v>
      </c>
      <c r="R79" s="25">
        <v>539.25</v>
      </c>
    </row>
    <row r="80" ht="15.75" customHeight="1">
      <c r="A80" s="24"/>
      <c r="F80" s="30"/>
      <c r="G80" s="30"/>
      <c r="Q80" s="24" t="s">
        <v>239</v>
      </c>
      <c r="R80" s="25">
        <v>-190.5</v>
      </c>
    </row>
    <row r="81" ht="15.75" customHeight="1">
      <c r="A81" s="24"/>
      <c r="F81" s="30"/>
      <c r="G81" s="30"/>
      <c r="Q81" s="24" t="s">
        <v>240</v>
      </c>
      <c r="R81" s="25">
        <v>2004.13</v>
      </c>
    </row>
    <row r="82" ht="15.75" customHeight="1">
      <c r="A82" s="24"/>
      <c r="F82" s="30"/>
      <c r="G82" s="30"/>
      <c r="Q82" s="24" t="s">
        <v>241</v>
      </c>
      <c r="R82" s="25">
        <v>30000.0</v>
      </c>
    </row>
    <row r="83" ht="15.75" customHeight="1">
      <c r="A83" s="24"/>
      <c r="F83" s="30"/>
      <c r="G83" s="30"/>
      <c r="Q83" s="24" t="s">
        <v>136</v>
      </c>
      <c r="R83" s="25">
        <v>20997.51</v>
      </c>
    </row>
    <row r="84" ht="15.75" customHeight="1">
      <c r="A84" s="24"/>
      <c r="F84" s="30"/>
      <c r="G84" s="30"/>
      <c r="Q84" s="24" t="s">
        <v>115</v>
      </c>
      <c r="R84" s="25">
        <v>70125.5</v>
      </c>
    </row>
    <row r="85" ht="15.75" customHeight="1">
      <c r="A85" s="24"/>
      <c r="F85" s="30"/>
      <c r="G85" s="30"/>
      <c r="Q85" s="24" t="s">
        <v>242</v>
      </c>
      <c r="R85" s="25">
        <v>28458.66</v>
      </c>
    </row>
    <row r="86" ht="15.75" customHeight="1">
      <c r="A86" s="24"/>
      <c r="F86" s="30"/>
      <c r="G86" s="30"/>
      <c r="Q86" s="24" t="s">
        <v>243</v>
      </c>
      <c r="R86" s="25">
        <v>11698.66</v>
      </c>
    </row>
    <row r="87" ht="15.75" customHeight="1">
      <c r="A87" s="24"/>
      <c r="F87" s="30"/>
      <c r="G87" s="30"/>
      <c r="Q87" s="24" t="s">
        <v>97</v>
      </c>
      <c r="R87" s="25">
        <v>224831.89</v>
      </c>
    </row>
    <row r="88" ht="15.75" customHeight="1">
      <c r="A88" s="24"/>
      <c r="F88" s="30"/>
      <c r="G88" s="30"/>
      <c r="Q88" s="24" t="s">
        <v>190</v>
      </c>
      <c r="R88" s="25">
        <v>412.58</v>
      </c>
    </row>
    <row r="89" ht="15.75" customHeight="1">
      <c r="A89" s="24"/>
      <c r="F89" s="30"/>
      <c r="G89" s="30"/>
      <c r="Q89" s="24" t="s">
        <v>110</v>
      </c>
      <c r="R89" s="25">
        <v>79981.25</v>
      </c>
    </row>
    <row r="90" ht="15.75" customHeight="1">
      <c r="A90" s="24"/>
      <c r="F90" s="30"/>
      <c r="G90" s="30"/>
      <c r="Q90" s="24" t="s">
        <v>133</v>
      </c>
      <c r="R90" s="25">
        <v>23654.17</v>
      </c>
    </row>
    <row r="91" ht="15.75" customHeight="1">
      <c r="A91" s="24"/>
      <c r="F91" s="30"/>
      <c r="G91" s="30"/>
      <c r="Q91" s="24" t="s">
        <v>244</v>
      </c>
      <c r="R91" s="25">
        <v>500.0</v>
      </c>
    </row>
    <row r="92" ht="15.75" customHeight="1">
      <c r="A92" s="24"/>
      <c r="F92" s="30"/>
      <c r="G92" s="30"/>
      <c r="Q92" s="24" t="s">
        <v>104</v>
      </c>
      <c r="R92" s="25">
        <v>92581.76</v>
      </c>
    </row>
    <row r="93" ht="15.75" customHeight="1">
      <c r="A93" s="24"/>
      <c r="F93" s="30"/>
      <c r="G93" s="30"/>
      <c r="Q93" s="24" t="s">
        <v>179</v>
      </c>
      <c r="R93" s="25">
        <v>1580.55</v>
      </c>
    </row>
    <row r="94" ht="15.75" customHeight="1">
      <c r="A94" s="24"/>
      <c r="F94" s="30"/>
      <c r="G94" s="30"/>
      <c r="Q94" s="24" t="s">
        <v>193</v>
      </c>
      <c r="R94" s="25">
        <v>317.78</v>
      </c>
    </row>
    <row r="95" ht="15.75" customHeight="1">
      <c r="A95" s="24"/>
      <c r="F95" s="30"/>
      <c r="G95" s="30"/>
      <c r="Q95" s="24" t="s">
        <v>122</v>
      </c>
      <c r="R95" s="25">
        <v>37684.98</v>
      </c>
    </row>
    <row r="96" ht="15.75" customHeight="1">
      <c r="A96" s="24"/>
      <c r="F96" s="30"/>
      <c r="G96" s="30"/>
      <c r="Q96" s="24" t="s">
        <v>139</v>
      </c>
      <c r="R96" s="25">
        <v>18657.39</v>
      </c>
    </row>
    <row r="97" ht="15.75" customHeight="1">
      <c r="A97" s="24"/>
      <c r="F97" s="30"/>
      <c r="G97" s="30"/>
      <c r="Q97" s="24" t="s">
        <v>245</v>
      </c>
      <c r="R97" s="25">
        <v>14000.0</v>
      </c>
    </row>
    <row r="98" ht="15.75" customHeight="1">
      <c r="A98" s="24"/>
      <c r="F98" s="30"/>
      <c r="G98" s="30"/>
      <c r="Q98" s="24" t="s">
        <v>246</v>
      </c>
      <c r="R98" s="25">
        <v>22765.44</v>
      </c>
    </row>
    <row r="99" ht="15.75" customHeight="1">
      <c r="A99" s="24"/>
      <c r="F99" s="30"/>
      <c r="G99" s="30"/>
      <c r="Q99" s="24" t="s">
        <v>247</v>
      </c>
      <c r="R99" s="25">
        <v>11148.7</v>
      </c>
    </row>
    <row r="100" ht="15.75" customHeight="1">
      <c r="A100" s="24"/>
      <c r="F100" s="30"/>
      <c r="G100" s="30"/>
      <c r="Q100" s="24" t="s">
        <v>158</v>
      </c>
      <c r="R100" s="25">
        <v>10000.0</v>
      </c>
    </row>
    <row r="101" ht="15.75" customHeight="1">
      <c r="A101" s="24"/>
      <c r="F101" s="30"/>
      <c r="G101" s="30"/>
      <c r="Q101" s="24" t="s">
        <v>248</v>
      </c>
      <c r="R101" s="25">
        <v>30215.0</v>
      </c>
    </row>
    <row r="102" ht="15.75" customHeight="1">
      <c r="A102" s="24"/>
      <c r="F102" s="30"/>
      <c r="G102" s="30"/>
      <c r="Q102" s="24" t="s">
        <v>249</v>
      </c>
      <c r="R102" s="25">
        <v>250.0</v>
      </c>
    </row>
    <row r="103" ht="15.75" customHeight="1">
      <c r="A103" s="24"/>
      <c r="F103" s="30"/>
      <c r="G103" s="30"/>
      <c r="Q103" s="24" t="s">
        <v>178</v>
      </c>
      <c r="R103" s="25">
        <v>2271.2</v>
      </c>
    </row>
    <row r="104" ht="15.75" customHeight="1">
      <c r="A104" s="24"/>
      <c r="F104" s="30"/>
      <c r="G104" s="30"/>
      <c r="Q104" s="24" t="s">
        <v>143</v>
      </c>
      <c r="R104" s="25">
        <v>18163.0</v>
      </c>
    </row>
    <row r="105" ht="15.75" customHeight="1">
      <c r="A105" s="24"/>
      <c r="F105" s="30"/>
      <c r="G105" s="30"/>
      <c r="Q105" s="24" t="s">
        <v>250</v>
      </c>
      <c r="R105" s="25">
        <v>3528.0</v>
      </c>
    </row>
    <row r="106" ht="15.75" customHeight="1">
      <c r="A106" s="24"/>
      <c r="F106" s="30"/>
      <c r="G106" s="30"/>
      <c r="Q106" s="24" t="s">
        <v>251</v>
      </c>
      <c r="R106" s="25">
        <v>105023.02</v>
      </c>
    </row>
    <row r="107" ht="15.75" customHeight="1">
      <c r="A107" s="24"/>
      <c r="F107" s="30"/>
      <c r="G107" s="30"/>
      <c r="Q107" s="24" t="s">
        <v>252</v>
      </c>
      <c r="R107" s="25">
        <v>8377.68</v>
      </c>
    </row>
    <row r="108" ht="15.75" customHeight="1">
      <c r="A108" s="24"/>
      <c r="F108" s="30"/>
      <c r="G108" s="30"/>
      <c r="Q108" s="24" t="s">
        <v>253</v>
      </c>
      <c r="R108" s="25">
        <v>410.0</v>
      </c>
    </row>
    <row r="109" ht="15.75" customHeight="1">
      <c r="A109" s="24"/>
      <c r="F109" s="30"/>
      <c r="G109" s="30"/>
      <c r="Q109" s="24" t="s">
        <v>184</v>
      </c>
      <c r="R109" s="25">
        <v>486.44</v>
      </c>
    </row>
    <row r="110" ht="15.75" customHeight="1">
      <c r="A110" s="24"/>
      <c r="F110" s="30"/>
      <c r="G110" s="30"/>
      <c r="Q110" s="24" t="s">
        <v>171</v>
      </c>
      <c r="R110" s="25">
        <v>4470.0</v>
      </c>
    </row>
    <row r="111" ht="15.75" customHeight="1">
      <c r="A111" s="24"/>
      <c r="F111" s="30"/>
      <c r="G111" s="30"/>
      <c r="Q111" s="24" t="s">
        <v>254</v>
      </c>
      <c r="R111" s="25">
        <v>9217.0</v>
      </c>
    </row>
    <row r="112" ht="15.75" customHeight="1">
      <c r="A112" s="24"/>
      <c r="F112" s="30"/>
      <c r="G112" s="30"/>
      <c r="Q112" s="24" t="s">
        <v>255</v>
      </c>
      <c r="R112" s="25">
        <v>3987.5</v>
      </c>
    </row>
    <row r="113" ht="15.75" customHeight="1">
      <c r="A113" s="24"/>
      <c r="F113" s="30"/>
      <c r="G113" s="30"/>
      <c r="Q113" s="31" t="s">
        <v>80</v>
      </c>
      <c r="R113" s="32">
        <v>3968491.53</v>
      </c>
    </row>
    <row r="114" ht="15.75" customHeight="1">
      <c r="A114" s="24"/>
      <c r="F114" s="30"/>
      <c r="G114" s="30"/>
      <c r="Q114" s="33"/>
      <c r="R114" s="34"/>
    </row>
    <row r="115" ht="15.75" customHeight="1">
      <c r="A115" s="24"/>
      <c r="F115" s="30"/>
      <c r="G115" s="30"/>
      <c r="Q115" s="33"/>
      <c r="R115" s="34"/>
    </row>
    <row r="116" ht="15.75" customHeight="1">
      <c r="A116" s="24"/>
      <c r="F116" s="30"/>
      <c r="G116" s="30"/>
      <c r="Q116" s="33"/>
      <c r="R116" s="34"/>
    </row>
    <row r="117" ht="15.75" customHeight="1">
      <c r="A117" s="24"/>
      <c r="F117" s="30"/>
      <c r="G117" s="30"/>
      <c r="Q117" s="33"/>
      <c r="R117" s="34"/>
    </row>
    <row r="118" ht="15.75" customHeight="1">
      <c r="A118" s="24"/>
      <c r="F118" s="30"/>
      <c r="G118" s="30"/>
      <c r="Q118" s="33"/>
      <c r="R118" s="34"/>
    </row>
    <row r="119" ht="15.75" customHeight="1">
      <c r="A119" s="24"/>
      <c r="F119" s="30"/>
      <c r="G119" s="30"/>
      <c r="Q119" s="33"/>
      <c r="R119" s="34"/>
    </row>
    <row r="120" ht="15.75" customHeight="1">
      <c r="A120" s="31"/>
      <c r="F120" s="30"/>
      <c r="G120" s="30"/>
      <c r="Q120" s="33"/>
      <c r="R120" s="34"/>
    </row>
    <row r="121" ht="15.75" customHeight="1">
      <c r="Q121" s="33"/>
      <c r="R121" s="34"/>
    </row>
    <row r="122" ht="15.75" customHeight="1">
      <c r="Q122" s="33"/>
      <c r="R122" s="34"/>
    </row>
    <row r="123" ht="15.75" customHeight="1">
      <c r="Q123" s="33"/>
      <c r="R123" s="34"/>
    </row>
    <row r="124" ht="15.75" customHeight="1">
      <c r="Q124" s="33"/>
      <c r="R124" s="34"/>
    </row>
    <row r="125" ht="15.75" customHeight="1">
      <c r="Q125" s="33"/>
      <c r="R125" s="34"/>
    </row>
    <row r="126" ht="15.75" customHeight="1">
      <c r="Q126" s="33"/>
      <c r="R126" s="34"/>
    </row>
    <row r="127" ht="15.75" customHeight="1">
      <c r="Q127" s="33"/>
      <c r="R127" s="34"/>
    </row>
    <row r="128" ht="15.75" customHeight="1">
      <c r="Q128" s="33"/>
      <c r="R128" s="34"/>
    </row>
    <row r="129" ht="15.75" customHeight="1">
      <c r="Q129" s="33"/>
      <c r="R129" s="34"/>
    </row>
    <row r="130" ht="15.75" customHeight="1">
      <c r="Q130" s="33"/>
      <c r="R130" s="34"/>
    </row>
    <row r="131" ht="15.75" customHeight="1">
      <c r="Q131" s="33"/>
      <c r="R131" s="34"/>
    </row>
    <row r="132" ht="15.75" customHeight="1">
      <c r="Q132" s="33"/>
      <c r="R132" s="34"/>
    </row>
    <row r="133" ht="15.75" customHeight="1">
      <c r="Q133" s="33"/>
      <c r="R133" s="34"/>
    </row>
    <row r="134" ht="15.75" customHeight="1">
      <c r="Q134" s="33"/>
      <c r="R134" s="34"/>
    </row>
    <row r="135" ht="15.75" customHeight="1">
      <c r="Q135" s="33"/>
      <c r="R135" s="34"/>
    </row>
    <row r="136" ht="15.75" customHeight="1">
      <c r="Q136" s="33"/>
      <c r="R136" s="34"/>
    </row>
    <row r="137" ht="15.75" customHeight="1">
      <c r="Q137" s="33"/>
      <c r="R137" s="34"/>
    </row>
    <row r="138" ht="15.75" customHeight="1">
      <c r="Q138" s="33"/>
      <c r="R138" s="34"/>
    </row>
    <row r="139" ht="15.75" customHeight="1">
      <c r="Q139" s="33"/>
      <c r="R139" s="34"/>
    </row>
    <row r="140" ht="15.75" customHeight="1">
      <c r="Q140" s="33"/>
      <c r="R140" s="34"/>
    </row>
    <row r="141" ht="15.75" customHeight="1">
      <c r="Q141" s="33"/>
      <c r="R141" s="34"/>
    </row>
    <row r="142" ht="15.75" customHeight="1">
      <c r="Q142" s="33"/>
      <c r="R142" s="34"/>
    </row>
    <row r="143" ht="15.75" customHeight="1">
      <c r="Q143" s="33"/>
      <c r="R143" s="34"/>
    </row>
    <row r="144" ht="15.75" customHeight="1">
      <c r="Q144" s="33"/>
      <c r="R144" s="34"/>
    </row>
    <row r="145" ht="15.75" customHeight="1">
      <c r="Q145" s="33"/>
      <c r="R145" s="34"/>
    </row>
    <row r="146" ht="15.75" customHeight="1">
      <c r="Q146" s="33"/>
      <c r="R146" s="34"/>
    </row>
    <row r="147" ht="15.75" customHeight="1">
      <c r="Q147" s="33"/>
      <c r="R147" s="34"/>
    </row>
    <row r="148" ht="15.75" customHeight="1">
      <c r="F148" s="30"/>
      <c r="G148" s="30"/>
      <c r="Q148" s="33"/>
      <c r="R148" s="34"/>
    </row>
    <row r="149" ht="15.75" customHeight="1">
      <c r="F149" s="30"/>
      <c r="G149" s="30"/>
      <c r="Q149" s="33"/>
      <c r="R149" s="34"/>
    </row>
    <row r="150" ht="15.75" customHeight="1">
      <c r="F150" s="30"/>
      <c r="G150" s="30"/>
      <c r="Q150" s="33"/>
      <c r="R150" s="34"/>
    </row>
    <row r="151" ht="15.75" customHeight="1">
      <c r="F151" s="30"/>
      <c r="G151" s="30"/>
      <c r="Q151" s="33"/>
      <c r="R151" s="34"/>
    </row>
    <row r="152" ht="15.75" customHeight="1">
      <c r="F152" s="30"/>
      <c r="G152" s="30"/>
      <c r="Q152" s="33"/>
      <c r="R152" s="34"/>
    </row>
    <row r="153" ht="15.75" customHeight="1">
      <c r="F153" s="30"/>
      <c r="G153" s="30"/>
      <c r="Q153" s="33"/>
      <c r="R153" s="34"/>
    </row>
    <row r="154" ht="15.75" customHeight="1">
      <c r="F154" s="30"/>
      <c r="G154" s="30"/>
      <c r="Q154" s="33"/>
      <c r="R154" s="34"/>
    </row>
    <row r="155" ht="15.75" customHeight="1">
      <c r="F155" s="30"/>
      <c r="G155" s="30"/>
      <c r="Q155" s="33"/>
      <c r="R155" s="34"/>
    </row>
    <row r="156" ht="15.75" customHeight="1">
      <c r="F156" s="30"/>
      <c r="G156" s="30"/>
      <c r="Q156" s="33"/>
      <c r="R156" s="34"/>
    </row>
    <row r="157" ht="15.75" customHeight="1">
      <c r="F157" s="30"/>
      <c r="G157" s="30"/>
      <c r="Q157" s="33"/>
      <c r="R157" s="34"/>
    </row>
    <row r="158" ht="15.75" customHeight="1">
      <c r="F158" s="30"/>
      <c r="G158" s="30"/>
      <c r="Q158" s="33"/>
      <c r="R158" s="34"/>
    </row>
    <row r="159" ht="15.75" customHeight="1">
      <c r="F159" s="30"/>
      <c r="G159" s="30"/>
      <c r="Q159" s="33"/>
      <c r="R159" s="34"/>
    </row>
    <row r="160" ht="15.75" customHeight="1">
      <c r="F160" s="30"/>
      <c r="G160" s="30"/>
      <c r="Q160" s="33"/>
      <c r="R160" s="34"/>
    </row>
    <row r="161" ht="15.75" customHeight="1">
      <c r="F161" s="30"/>
      <c r="G161" s="30"/>
      <c r="Q161" s="33"/>
      <c r="R161" s="34"/>
    </row>
    <row r="162" ht="15.75" customHeight="1">
      <c r="F162" s="30"/>
      <c r="G162" s="30"/>
      <c r="Q162" s="33"/>
      <c r="R162" s="34"/>
    </row>
    <row r="163" ht="15.75" customHeight="1">
      <c r="F163" s="30"/>
      <c r="G163" s="30"/>
      <c r="Q163" s="33"/>
      <c r="R163" s="34"/>
    </row>
    <row r="164" ht="15.75" customHeight="1">
      <c r="F164" s="30"/>
      <c r="G164" s="30"/>
      <c r="Q164" s="33"/>
      <c r="R164" s="34"/>
    </row>
    <row r="165" ht="15.75" customHeight="1">
      <c r="F165" s="30"/>
      <c r="G165" s="30"/>
      <c r="Q165" s="33"/>
      <c r="R165" s="34"/>
    </row>
    <row r="166" ht="15.75" customHeight="1">
      <c r="F166" s="30"/>
      <c r="G166" s="30"/>
      <c r="Q166" s="33"/>
      <c r="R166" s="34"/>
    </row>
    <row r="167" ht="15.75" customHeight="1">
      <c r="F167" s="30"/>
      <c r="G167" s="30"/>
      <c r="Q167" s="33"/>
      <c r="R167" s="34"/>
    </row>
    <row r="168" ht="15.75" customHeight="1">
      <c r="F168" s="30"/>
      <c r="G168" s="30"/>
      <c r="Q168" s="33"/>
      <c r="R168" s="34"/>
    </row>
    <row r="169" ht="15.75" customHeight="1">
      <c r="F169" s="30"/>
      <c r="G169" s="30"/>
      <c r="Q169" s="33"/>
      <c r="R169" s="34"/>
    </row>
    <row r="170" ht="15.75" customHeight="1">
      <c r="F170" s="30"/>
      <c r="G170" s="30"/>
      <c r="Q170" s="33"/>
      <c r="R170" s="34"/>
    </row>
    <row r="171" ht="15.75" customHeight="1">
      <c r="F171" s="30"/>
      <c r="G171" s="30"/>
      <c r="Q171" s="33"/>
      <c r="R171" s="34"/>
    </row>
    <row r="172" ht="15.75" customHeight="1">
      <c r="F172" s="30"/>
      <c r="G172" s="30"/>
      <c r="Q172" s="33"/>
      <c r="R172" s="34"/>
    </row>
    <row r="173" ht="15.75" customHeight="1">
      <c r="F173" s="30"/>
      <c r="G173" s="30"/>
      <c r="Q173" s="33"/>
      <c r="R173" s="34"/>
    </row>
    <row r="174" ht="15.75" customHeight="1">
      <c r="F174" s="30"/>
      <c r="G174" s="30"/>
      <c r="Q174" s="33"/>
      <c r="R174" s="34"/>
    </row>
    <row r="175" ht="15.75" customHeight="1">
      <c r="F175" s="30"/>
      <c r="G175" s="30"/>
      <c r="Q175" s="33"/>
      <c r="R175" s="34"/>
    </row>
    <row r="176" ht="15.75" customHeight="1">
      <c r="F176" s="30"/>
      <c r="G176" s="30"/>
      <c r="Q176" s="33"/>
      <c r="R176" s="34"/>
    </row>
    <row r="177" ht="15.75" customHeight="1">
      <c r="F177" s="30"/>
      <c r="G177" s="30"/>
      <c r="Q177" s="33"/>
      <c r="R177" s="34"/>
    </row>
    <row r="178" ht="15.75" customHeight="1">
      <c r="F178" s="30"/>
      <c r="G178" s="30"/>
      <c r="Q178" s="33"/>
      <c r="R178" s="34"/>
    </row>
    <row r="179" ht="15.75" customHeight="1">
      <c r="F179" s="30"/>
      <c r="G179" s="30"/>
      <c r="Q179" s="33"/>
      <c r="R179" s="34"/>
    </row>
    <row r="180" ht="15.75" customHeight="1">
      <c r="F180" s="30"/>
      <c r="G180" s="30"/>
      <c r="Q180" s="33"/>
      <c r="R180" s="34"/>
    </row>
    <row r="181" ht="15.75" customHeight="1">
      <c r="F181" s="30"/>
      <c r="G181" s="30"/>
      <c r="Q181" s="35"/>
      <c r="R181" s="36"/>
    </row>
    <row r="182" ht="15.75" customHeight="1">
      <c r="F182" s="30"/>
      <c r="G182" s="30"/>
      <c r="Q182" s="37"/>
      <c r="R182" s="38"/>
    </row>
    <row r="183" ht="15.75" customHeight="1">
      <c r="F183" s="30"/>
      <c r="G183" s="30"/>
      <c r="Q183" s="37"/>
      <c r="R183" s="38"/>
    </row>
    <row r="184" ht="15.75" customHeight="1">
      <c r="F184" s="30"/>
      <c r="G184" s="30"/>
      <c r="Q184" s="37"/>
      <c r="R184" s="38"/>
    </row>
    <row r="185" ht="15.75" customHeight="1">
      <c r="F185" s="30"/>
      <c r="G185" s="30"/>
      <c r="Q185" s="37"/>
      <c r="R185" s="38"/>
    </row>
    <row r="186" ht="15.75" customHeight="1">
      <c r="F186" s="30"/>
      <c r="G186" s="30"/>
    </row>
    <row r="187" ht="15.75" customHeight="1">
      <c r="F187" s="30"/>
      <c r="G187" s="30"/>
    </row>
    <row r="188" ht="15.75" customHeight="1">
      <c r="F188" s="30"/>
      <c r="G188" s="30"/>
    </row>
    <row r="189" ht="15.75" customHeight="1">
      <c r="F189" s="30"/>
      <c r="G189" s="30"/>
    </row>
    <row r="190" ht="15.75" customHeight="1">
      <c r="F190" s="30"/>
      <c r="G190" s="30"/>
    </row>
    <row r="191" ht="15.75" customHeight="1">
      <c r="F191" s="30"/>
      <c r="G191" s="30"/>
    </row>
    <row r="192" ht="15.75" customHeight="1">
      <c r="F192" s="30"/>
      <c r="G192" s="30"/>
    </row>
    <row r="193" ht="15.75" customHeight="1">
      <c r="F193" s="30"/>
      <c r="G193" s="30"/>
    </row>
    <row r="194" ht="15.75" customHeight="1">
      <c r="F194" s="30"/>
      <c r="G194" s="30"/>
    </row>
    <row r="195" ht="15.75" customHeight="1">
      <c r="F195" s="30"/>
      <c r="G195" s="30"/>
    </row>
    <row r="196" ht="15.75" customHeight="1">
      <c r="F196" s="30"/>
      <c r="G196" s="30"/>
    </row>
    <row r="197" ht="15.75" customHeight="1">
      <c r="F197" s="30"/>
      <c r="G197" s="30"/>
    </row>
    <row r="198" ht="15.75" customHeight="1">
      <c r="F198" s="30"/>
      <c r="G198" s="30"/>
    </row>
    <row r="199" ht="15.75" customHeight="1">
      <c r="F199" s="30"/>
      <c r="G199" s="30"/>
    </row>
    <row r="200" ht="15.75" customHeight="1">
      <c r="F200" s="30"/>
      <c r="G200" s="30"/>
    </row>
    <row r="201" ht="15.75" customHeight="1">
      <c r="F201" s="30"/>
      <c r="G201" s="30"/>
    </row>
    <row r="202" ht="15.75" customHeight="1">
      <c r="F202" s="30"/>
      <c r="G202" s="30"/>
    </row>
    <row r="203" ht="15.75" customHeight="1">
      <c r="F203" s="30"/>
      <c r="G203" s="30"/>
    </row>
    <row r="204" ht="15.75" customHeight="1">
      <c r="F204" s="30"/>
      <c r="G204" s="30"/>
    </row>
    <row r="205" ht="15.75" customHeight="1">
      <c r="F205" s="30"/>
      <c r="G205" s="30"/>
    </row>
    <row r="206" ht="15.75" customHeight="1">
      <c r="F206" s="30"/>
      <c r="G206" s="30"/>
    </row>
    <row r="207" ht="15.75" customHeight="1">
      <c r="F207" s="30"/>
      <c r="G207" s="30"/>
    </row>
    <row r="208" ht="15.75" customHeight="1">
      <c r="F208" s="30"/>
      <c r="G208" s="30"/>
    </row>
    <row r="209" ht="15.75" customHeight="1">
      <c r="F209" s="30"/>
      <c r="G209" s="30"/>
    </row>
    <row r="210" ht="15.75" customHeight="1">
      <c r="F210" s="30"/>
      <c r="G210" s="30"/>
    </row>
    <row r="211" ht="15.75" customHeight="1">
      <c r="F211" s="30"/>
      <c r="G211" s="30"/>
    </row>
    <row r="212" ht="15.75" customHeight="1">
      <c r="F212" s="30"/>
      <c r="G212" s="30"/>
    </row>
    <row r="213" ht="15.75" customHeight="1">
      <c r="F213" s="30"/>
      <c r="G213" s="30"/>
    </row>
    <row r="214" ht="15.75" customHeight="1">
      <c r="F214" s="30"/>
      <c r="G214" s="30"/>
    </row>
    <row r="215" ht="15.75" customHeight="1">
      <c r="F215" s="30"/>
      <c r="G215" s="30"/>
    </row>
    <row r="216" ht="15.75" customHeight="1">
      <c r="F216" s="30"/>
      <c r="G216" s="30"/>
    </row>
    <row r="217" ht="15.75" customHeight="1">
      <c r="F217" s="30"/>
      <c r="G217" s="30"/>
    </row>
    <row r="218" ht="15.75" customHeight="1">
      <c r="F218" s="30"/>
      <c r="G218" s="30"/>
    </row>
    <row r="219" ht="15.75" customHeight="1">
      <c r="F219" s="30"/>
      <c r="G219" s="30"/>
    </row>
    <row r="220" ht="15.75" customHeight="1">
      <c r="F220" s="30"/>
      <c r="G220" s="30"/>
    </row>
    <row r="221" ht="15.75" customHeight="1">
      <c r="F221" s="30"/>
      <c r="G221" s="30"/>
    </row>
    <row r="222" ht="15.75" customHeight="1">
      <c r="F222" s="30"/>
      <c r="G222" s="30"/>
    </row>
    <row r="223" ht="15.75" customHeight="1">
      <c r="F223" s="30"/>
      <c r="G223" s="30"/>
    </row>
    <row r="224" ht="15.75" customHeight="1">
      <c r="F224" s="30"/>
      <c r="G224" s="30"/>
    </row>
    <row r="225" ht="15.75" customHeight="1">
      <c r="F225" s="30"/>
      <c r="G225" s="30"/>
    </row>
    <row r="226" ht="15.75" customHeight="1">
      <c r="F226" s="30"/>
      <c r="G226" s="30"/>
    </row>
    <row r="227" ht="15.75" customHeight="1">
      <c r="F227" s="30"/>
      <c r="G227" s="30"/>
    </row>
    <row r="228" ht="15.75" customHeight="1">
      <c r="F228" s="30"/>
      <c r="G228" s="30"/>
    </row>
    <row r="229" ht="15.75" customHeight="1">
      <c r="F229" s="30"/>
      <c r="G229" s="30"/>
    </row>
    <row r="230" ht="15.75" customHeight="1">
      <c r="F230" s="30"/>
      <c r="G230" s="30"/>
    </row>
    <row r="231" ht="15.75" customHeight="1">
      <c r="F231" s="30"/>
      <c r="G231" s="30"/>
    </row>
    <row r="232" ht="15.75" customHeight="1">
      <c r="F232" s="30"/>
      <c r="G232" s="30"/>
    </row>
    <row r="233" ht="15.75" customHeight="1">
      <c r="F233" s="30"/>
      <c r="G233" s="30"/>
    </row>
    <row r="234" ht="15.75" customHeight="1">
      <c r="F234" s="30"/>
      <c r="G234" s="30"/>
    </row>
    <row r="235" ht="15.75" customHeight="1">
      <c r="F235" s="30"/>
      <c r="G235" s="30"/>
    </row>
    <row r="236" ht="15.75" customHeight="1">
      <c r="F236" s="30"/>
      <c r="G236" s="30"/>
    </row>
    <row r="237" ht="15.75" customHeight="1">
      <c r="F237" s="30"/>
      <c r="G237" s="30"/>
    </row>
    <row r="238" ht="15.75" customHeight="1">
      <c r="F238" s="30"/>
      <c r="G238" s="30"/>
    </row>
    <row r="239" ht="15.75" customHeight="1">
      <c r="F239" s="30"/>
      <c r="G239" s="30"/>
    </row>
    <row r="240" ht="15.75" customHeight="1">
      <c r="F240" s="30"/>
      <c r="G240" s="30"/>
    </row>
    <row r="241" ht="15.75" customHeight="1">
      <c r="F241" s="30"/>
      <c r="G241" s="30"/>
    </row>
    <row r="242" ht="15.75" customHeight="1">
      <c r="F242" s="30"/>
      <c r="G242" s="30"/>
    </row>
    <row r="243" ht="15.75" customHeight="1">
      <c r="F243" s="30"/>
      <c r="G243" s="30"/>
    </row>
    <row r="244" ht="15.75" customHeight="1">
      <c r="F244" s="30"/>
      <c r="G244" s="30"/>
    </row>
    <row r="245" ht="15.75" customHeight="1">
      <c r="F245" s="30"/>
      <c r="G245" s="30"/>
    </row>
    <row r="246" ht="15.75" customHeight="1">
      <c r="F246" s="30"/>
      <c r="G246" s="30"/>
    </row>
    <row r="247" ht="15.75" customHeight="1">
      <c r="F247" s="30"/>
      <c r="G247" s="30"/>
    </row>
    <row r="248" ht="15.75" customHeight="1">
      <c r="F248" s="30"/>
      <c r="G248" s="30"/>
    </row>
    <row r="249" ht="15.75" customHeight="1">
      <c r="F249" s="30"/>
      <c r="G249" s="30"/>
    </row>
    <row r="250" ht="15.75" customHeight="1">
      <c r="F250" s="30"/>
      <c r="G250" s="30"/>
    </row>
    <row r="251" ht="15.75" customHeight="1">
      <c r="F251" s="30"/>
      <c r="G251" s="30"/>
    </row>
    <row r="252" ht="15.75" customHeight="1">
      <c r="F252" s="30"/>
      <c r="G252" s="30"/>
    </row>
    <row r="253" ht="15.75" customHeight="1">
      <c r="F253" s="30"/>
      <c r="G253" s="30"/>
    </row>
    <row r="254" ht="15.75" customHeight="1">
      <c r="F254" s="30"/>
      <c r="G254" s="30"/>
    </row>
    <row r="255" ht="15.75" customHeight="1">
      <c r="F255" s="30"/>
      <c r="G255" s="30"/>
    </row>
    <row r="256" ht="15.75" customHeight="1">
      <c r="F256" s="30"/>
      <c r="G256" s="30"/>
    </row>
    <row r="257" ht="15.75" customHeight="1">
      <c r="F257" s="30"/>
      <c r="G257" s="30"/>
    </row>
    <row r="258" ht="15.75" customHeight="1">
      <c r="F258" s="30"/>
      <c r="G258" s="30"/>
    </row>
    <row r="259" ht="15.75" customHeight="1">
      <c r="F259" s="30"/>
      <c r="G259" s="30"/>
    </row>
    <row r="260" ht="15.75" customHeight="1">
      <c r="F260" s="30"/>
      <c r="G260" s="30"/>
    </row>
    <row r="261" ht="15.75" customHeight="1">
      <c r="F261" s="30"/>
      <c r="G261" s="30"/>
    </row>
    <row r="262" ht="15.75" customHeight="1">
      <c r="F262" s="30"/>
      <c r="G262" s="30"/>
    </row>
    <row r="263" ht="15.75" customHeight="1">
      <c r="F263" s="30"/>
      <c r="G263" s="30"/>
    </row>
    <row r="264" ht="15.75" customHeight="1">
      <c r="F264" s="30"/>
      <c r="G264" s="30"/>
    </row>
    <row r="265" ht="15.75" customHeight="1">
      <c r="F265" s="30"/>
      <c r="G265" s="30"/>
    </row>
    <row r="266" ht="15.75" customHeight="1">
      <c r="F266" s="30"/>
      <c r="G266" s="30"/>
    </row>
    <row r="267" ht="15.75" customHeight="1">
      <c r="F267" s="30"/>
      <c r="G267" s="30"/>
    </row>
    <row r="268" ht="15.75" customHeight="1">
      <c r="F268" s="30"/>
      <c r="G268" s="30"/>
    </row>
    <row r="269" ht="15.75" customHeight="1">
      <c r="F269" s="30"/>
      <c r="G269" s="30"/>
    </row>
    <row r="270" ht="15.75" customHeight="1">
      <c r="F270" s="30"/>
      <c r="G270" s="30"/>
    </row>
    <row r="271" ht="15.75" customHeight="1">
      <c r="F271" s="30"/>
      <c r="G271" s="30"/>
    </row>
    <row r="272" ht="15.75" customHeight="1">
      <c r="F272" s="30"/>
      <c r="G272" s="30"/>
    </row>
    <row r="273" ht="15.75" customHeight="1">
      <c r="F273" s="30"/>
      <c r="G273" s="30"/>
    </row>
    <row r="274" ht="15.75" customHeight="1">
      <c r="F274" s="30"/>
      <c r="G274" s="30"/>
    </row>
    <row r="275" ht="15.75" customHeight="1">
      <c r="F275" s="30"/>
      <c r="G275" s="30"/>
    </row>
    <row r="276" ht="15.75" customHeight="1">
      <c r="F276" s="30"/>
      <c r="G276" s="30"/>
    </row>
    <row r="277" ht="15.75" customHeight="1">
      <c r="F277" s="30"/>
      <c r="G277" s="30"/>
    </row>
    <row r="278" ht="15.75" customHeight="1">
      <c r="F278" s="30"/>
      <c r="G278" s="30"/>
    </row>
    <row r="279" ht="15.75" customHeight="1">
      <c r="F279" s="30"/>
      <c r="G279" s="30"/>
    </row>
    <row r="280" ht="15.75" customHeight="1">
      <c r="F280" s="30"/>
      <c r="G280" s="30"/>
    </row>
    <row r="281" ht="15.75" customHeight="1">
      <c r="F281" s="30"/>
      <c r="G281" s="30"/>
    </row>
    <row r="282" ht="15.75" customHeight="1">
      <c r="F282" s="30"/>
      <c r="G282" s="30"/>
    </row>
    <row r="283" ht="15.75" customHeight="1">
      <c r="F283" s="30"/>
      <c r="G283" s="30"/>
    </row>
    <row r="284" ht="15.75" customHeight="1">
      <c r="F284" s="30"/>
      <c r="G284" s="30"/>
    </row>
    <row r="285" ht="15.75" customHeight="1">
      <c r="F285" s="30"/>
      <c r="G285" s="30"/>
    </row>
    <row r="286" ht="15.75" customHeight="1">
      <c r="F286" s="30"/>
      <c r="G286" s="30"/>
    </row>
    <row r="287" ht="15.75" customHeight="1">
      <c r="F287" s="30"/>
      <c r="G287" s="30"/>
    </row>
    <row r="288" ht="15.75" customHeight="1">
      <c r="F288" s="30"/>
      <c r="G288" s="30"/>
    </row>
    <row r="289" ht="15.75" customHeight="1">
      <c r="F289" s="30"/>
      <c r="G289" s="30"/>
    </row>
    <row r="290" ht="15.75" customHeight="1">
      <c r="F290" s="30"/>
      <c r="G290" s="30"/>
    </row>
    <row r="291" ht="15.75" customHeight="1">
      <c r="F291" s="30"/>
      <c r="G291" s="30"/>
    </row>
    <row r="292" ht="15.75" customHeight="1">
      <c r="F292" s="30"/>
      <c r="G292" s="30"/>
    </row>
    <row r="293" ht="15.75" customHeight="1">
      <c r="F293" s="30"/>
      <c r="G293" s="30"/>
    </row>
    <row r="294" ht="15.75" customHeight="1">
      <c r="F294" s="30"/>
      <c r="G294" s="30"/>
    </row>
    <row r="295" ht="15.75" customHeight="1">
      <c r="F295" s="30"/>
      <c r="G295" s="30"/>
    </row>
    <row r="296" ht="15.75" customHeight="1">
      <c r="F296" s="30"/>
      <c r="G296" s="30"/>
    </row>
    <row r="297" ht="15.75" customHeight="1">
      <c r="F297" s="30"/>
      <c r="G297" s="30"/>
    </row>
    <row r="298" ht="15.75" customHeight="1">
      <c r="F298" s="30"/>
      <c r="G298" s="30"/>
    </row>
    <row r="299" ht="15.75" customHeight="1">
      <c r="F299" s="30"/>
      <c r="G299" s="30"/>
    </row>
    <row r="300" ht="15.75" customHeight="1">
      <c r="F300" s="30"/>
      <c r="G300" s="30"/>
    </row>
    <row r="301" ht="15.75" customHeight="1">
      <c r="F301" s="30"/>
      <c r="G301" s="30"/>
    </row>
    <row r="302" ht="15.75" customHeight="1">
      <c r="F302" s="30"/>
      <c r="G302" s="30"/>
    </row>
    <row r="303" ht="15.75" customHeight="1">
      <c r="F303" s="30"/>
      <c r="G303" s="30"/>
    </row>
    <row r="304" ht="15.75" customHeight="1">
      <c r="F304" s="30"/>
      <c r="G304" s="30"/>
    </row>
    <row r="305" ht="15.75" customHeight="1">
      <c r="F305" s="30"/>
      <c r="G305" s="30"/>
    </row>
    <row r="306" ht="15.75" customHeight="1">
      <c r="F306" s="30"/>
      <c r="G306" s="30"/>
    </row>
    <row r="307" ht="15.75" customHeight="1">
      <c r="F307" s="30"/>
      <c r="G307" s="30"/>
    </row>
    <row r="308" ht="15.75" customHeight="1">
      <c r="F308" s="30"/>
      <c r="G308" s="30"/>
    </row>
    <row r="309" ht="15.75" customHeight="1">
      <c r="F309" s="30"/>
      <c r="G309" s="30"/>
    </row>
    <row r="310" ht="15.75" customHeight="1">
      <c r="F310" s="30"/>
      <c r="G310" s="30"/>
    </row>
    <row r="311" ht="15.75" customHeight="1">
      <c r="F311" s="30"/>
      <c r="G311" s="30"/>
    </row>
    <row r="312" ht="15.75" customHeight="1">
      <c r="F312" s="30"/>
      <c r="G312" s="30"/>
    </row>
    <row r="313" ht="15.75" customHeight="1">
      <c r="F313" s="30"/>
      <c r="G313" s="30"/>
    </row>
    <row r="314" ht="15.75" customHeight="1">
      <c r="F314" s="30"/>
      <c r="G314" s="30"/>
    </row>
    <row r="315" ht="15.75" customHeight="1">
      <c r="F315" s="30"/>
      <c r="G315" s="30"/>
    </row>
    <row r="316" ht="15.75" customHeight="1">
      <c r="F316" s="30"/>
      <c r="G316" s="30"/>
    </row>
    <row r="317" ht="15.75" customHeight="1">
      <c r="F317" s="30"/>
      <c r="G317" s="30"/>
    </row>
    <row r="318" ht="15.75" customHeight="1">
      <c r="F318" s="30"/>
      <c r="G318" s="30"/>
    </row>
    <row r="319" ht="15.75" customHeight="1">
      <c r="F319" s="30"/>
      <c r="G319" s="30"/>
    </row>
    <row r="320" ht="15.75" customHeight="1">
      <c r="F320" s="30"/>
      <c r="G320" s="30"/>
    </row>
    <row r="321" ht="15.75" customHeight="1">
      <c r="F321" s="30"/>
      <c r="G321" s="30"/>
    </row>
    <row r="322" ht="15.75" customHeight="1">
      <c r="F322" s="30"/>
      <c r="G322" s="30"/>
    </row>
    <row r="323" ht="15.75" customHeight="1">
      <c r="F323" s="30"/>
      <c r="G323" s="30"/>
    </row>
    <row r="324" ht="15.75" customHeight="1">
      <c r="F324" s="30"/>
      <c r="G324" s="30"/>
    </row>
    <row r="325" ht="15.75" customHeight="1">
      <c r="F325" s="30"/>
      <c r="G325" s="30"/>
    </row>
    <row r="326" ht="15.75" customHeight="1">
      <c r="F326" s="30"/>
      <c r="G326" s="30"/>
    </row>
    <row r="327" ht="15.75" customHeight="1">
      <c r="F327" s="30"/>
      <c r="G327" s="30"/>
    </row>
    <row r="328" ht="15.75" customHeight="1">
      <c r="F328" s="30"/>
      <c r="G328" s="30"/>
    </row>
    <row r="329" ht="15.75" customHeight="1">
      <c r="F329" s="30"/>
      <c r="G329" s="30"/>
    </row>
    <row r="330" ht="15.75" customHeight="1">
      <c r="F330" s="30"/>
      <c r="G330" s="30"/>
    </row>
    <row r="331" ht="15.75" customHeight="1">
      <c r="F331" s="30"/>
      <c r="G331" s="30"/>
    </row>
    <row r="332" ht="15.75" customHeight="1">
      <c r="F332" s="30"/>
      <c r="G332" s="30"/>
    </row>
    <row r="333" ht="15.75" customHeight="1">
      <c r="F333" s="30"/>
      <c r="G333" s="30"/>
    </row>
    <row r="334" ht="15.75" customHeight="1">
      <c r="F334" s="30"/>
      <c r="G334" s="30"/>
    </row>
    <row r="335" ht="15.75" customHeight="1">
      <c r="F335" s="30"/>
      <c r="G335" s="30"/>
    </row>
    <row r="336" ht="15.75" customHeight="1">
      <c r="F336" s="30"/>
      <c r="G336" s="30"/>
    </row>
    <row r="337" ht="15.75" customHeight="1">
      <c r="F337" s="30"/>
      <c r="G337" s="30"/>
    </row>
    <row r="338" ht="15.75" customHeight="1">
      <c r="F338" s="30"/>
      <c r="G338" s="30"/>
    </row>
    <row r="339" ht="15.75" customHeight="1">
      <c r="F339" s="30"/>
      <c r="G339" s="30"/>
    </row>
    <row r="340" ht="15.75" customHeight="1">
      <c r="F340" s="30"/>
      <c r="G340" s="30"/>
    </row>
    <row r="341" ht="15.75" customHeight="1">
      <c r="F341" s="30"/>
      <c r="G341" s="30"/>
    </row>
    <row r="342" ht="15.75" customHeight="1">
      <c r="F342" s="30"/>
      <c r="G342" s="30"/>
    </row>
    <row r="343" ht="15.75" customHeight="1">
      <c r="F343" s="30"/>
      <c r="G343" s="30"/>
    </row>
    <row r="344" ht="15.75" customHeight="1">
      <c r="F344" s="30"/>
      <c r="G344" s="30"/>
    </row>
    <row r="345" ht="15.75" customHeight="1">
      <c r="F345" s="30"/>
      <c r="G345" s="30"/>
    </row>
    <row r="346" ht="15.75" customHeight="1">
      <c r="F346" s="30"/>
      <c r="G346" s="30"/>
    </row>
    <row r="347" ht="15.75" customHeight="1">
      <c r="F347" s="30"/>
      <c r="G347" s="30"/>
    </row>
    <row r="348" ht="15.75" customHeight="1">
      <c r="F348" s="30"/>
      <c r="G348" s="30"/>
    </row>
    <row r="349" ht="15.75" customHeight="1">
      <c r="F349" s="30"/>
      <c r="G349" s="30"/>
    </row>
    <row r="350" ht="15.75" customHeight="1">
      <c r="F350" s="30"/>
      <c r="G350" s="30"/>
    </row>
    <row r="351" ht="15.75" customHeight="1">
      <c r="F351" s="30"/>
      <c r="G351" s="30"/>
    </row>
    <row r="352" ht="15.75" customHeight="1">
      <c r="F352" s="30"/>
      <c r="G352" s="30"/>
    </row>
    <row r="353" ht="15.75" customHeight="1">
      <c r="F353" s="30"/>
      <c r="G353" s="30"/>
    </row>
    <row r="354" ht="15.75" customHeight="1">
      <c r="F354" s="30"/>
      <c r="G354" s="30"/>
    </row>
    <row r="355" ht="15.75" customHeight="1">
      <c r="F355" s="30"/>
      <c r="G355" s="30"/>
    </row>
    <row r="356" ht="15.75" customHeight="1">
      <c r="F356" s="30"/>
      <c r="G356" s="30"/>
    </row>
    <row r="357" ht="15.75" customHeight="1">
      <c r="F357" s="30"/>
      <c r="G357" s="30"/>
    </row>
    <row r="358" ht="15.75" customHeight="1">
      <c r="F358" s="30"/>
      <c r="G358" s="30"/>
    </row>
    <row r="359" ht="15.75" customHeight="1">
      <c r="F359" s="30"/>
      <c r="G359" s="30"/>
    </row>
    <row r="360" ht="15.75" customHeight="1">
      <c r="F360" s="30"/>
      <c r="G360" s="30"/>
    </row>
    <row r="361" ht="15.75" customHeight="1">
      <c r="F361" s="30"/>
      <c r="G361" s="30"/>
    </row>
    <row r="362" ht="15.75" customHeight="1">
      <c r="F362" s="30"/>
      <c r="G362" s="30"/>
    </row>
    <row r="363" ht="15.75" customHeight="1">
      <c r="F363" s="30"/>
      <c r="G363" s="30"/>
    </row>
    <row r="364" ht="15.75" customHeight="1">
      <c r="F364" s="30"/>
      <c r="G364" s="30"/>
    </row>
    <row r="365" ht="15.75" customHeight="1">
      <c r="F365" s="30"/>
      <c r="G365" s="30"/>
    </row>
    <row r="366" ht="15.75" customHeight="1">
      <c r="F366" s="30"/>
      <c r="G366" s="30"/>
    </row>
    <row r="367" ht="15.75" customHeight="1">
      <c r="F367" s="30"/>
      <c r="G367" s="30"/>
    </row>
    <row r="368" ht="15.75" customHeight="1">
      <c r="F368" s="30"/>
      <c r="G368" s="30"/>
    </row>
    <row r="369" ht="15.75" customHeight="1">
      <c r="F369" s="30"/>
      <c r="G369" s="30"/>
    </row>
    <row r="370" ht="15.75" customHeight="1">
      <c r="F370" s="30"/>
      <c r="G370" s="30"/>
    </row>
    <row r="371" ht="15.75" customHeight="1">
      <c r="F371" s="30"/>
      <c r="G371" s="30"/>
    </row>
    <row r="372" ht="15.75" customHeight="1">
      <c r="F372" s="30"/>
      <c r="G372" s="30"/>
    </row>
    <row r="373" ht="15.75" customHeight="1">
      <c r="F373" s="30"/>
      <c r="G373" s="30"/>
    </row>
    <row r="374" ht="15.75" customHeight="1">
      <c r="F374" s="30"/>
      <c r="G374" s="30"/>
    </row>
    <row r="375" ht="15.75" customHeight="1">
      <c r="F375" s="30"/>
      <c r="G375" s="30"/>
    </row>
    <row r="376" ht="15.75" customHeight="1">
      <c r="F376" s="30"/>
      <c r="G376" s="30"/>
    </row>
    <row r="377" ht="15.75" customHeight="1">
      <c r="F377" s="30"/>
      <c r="G377" s="30"/>
    </row>
    <row r="378" ht="15.75" customHeight="1">
      <c r="F378" s="30"/>
      <c r="G378" s="30"/>
    </row>
    <row r="379" ht="15.75" customHeight="1">
      <c r="F379" s="30"/>
      <c r="G379" s="30"/>
    </row>
    <row r="380" ht="15.75" customHeight="1">
      <c r="F380" s="30"/>
      <c r="G380" s="30"/>
    </row>
    <row r="381" ht="15.75" customHeight="1">
      <c r="F381" s="30"/>
      <c r="G381" s="30"/>
    </row>
    <row r="382" ht="15.75" customHeight="1">
      <c r="F382" s="30"/>
      <c r="G382" s="30"/>
    </row>
    <row r="383" ht="15.75" customHeight="1">
      <c r="F383" s="30"/>
      <c r="G383" s="30"/>
    </row>
    <row r="384" ht="15.75" customHeight="1">
      <c r="F384" s="30"/>
      <c r="G384" s="30"/>
    </row>
    <row r="385" ht="15.75" customHeight="1">
      <c r="F385" s="30"/>
      <c r="G385" s="30"/>
    </row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2:$N$147">
    <sortState ref="A2:N147">
      <sortCondition descending="1" ref="F2:F147"/>
      <sortCondition descending="1" ref="M2:M147"/>
      <sortCondition ref="N2:N147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75"/>
    <col customWidth="1" min="2" max="2" width="18.0"/>
    <col customWidth="1" min="3" max="3" width="16.63"/>
    <col customWidth="1" min="4" max="4" width="16.25"/>
    <col customWidth="1" min="5" max="5" width="22.25"/>
    <col customWidth="1" min="6" max="6" width="23.25"/>
    <col customWidth="1" min="7" max="7" width="10.38"/>
    <col customWidth="1" min="8" max="8" width="18.13"/>
    <col customWidth="1" min="9" max="9" width="15.75"/>
  </cols>
  <sheetData>
    <row r="1" ht="15.75" customHeight="1">
      <c r="A1" s="39" t="s">
        <v>77</v>
      </c>
      <c r="B1" s="39" t="s">
        <v>256</v>
      </c>
      <c r="C1" s="39" t="s">
        <v>257</v>
      </c>
      <c r="D1" s="39" t="s">
        <v>258</v>
      </c>
      <c r="E1" s="39" t="s">
        <v>259</v>
      </c>
      <c r="F1" s="39" t="s">
        <v>260</v>
      </c>
      <c r="G1" s="39" t="s">
        <v>261</v>
      </c>
      <c r="H1" s="39" t="s">
        <v>262</v>
      </c>
      <c r="I1" s="39" t="s">
        <v>263</v>
      </c>
      <c r="J1" s="39" t="s">
        <v>264</v>
      </c>
    </row>
    <row r="2" ht="15.75" customHeight="1">
      <c r="A2" s="39" t="s">
        <v>90</v>
      </c>
      <c r="B2" s="39" t="s">
        <v>265</v>
      </c>
      <c r="C2" s="39" t="s">
        <v>266</v>
      </c>
      <c r="D2" s="39" t="s">
        <v>265</v>
      </c>
      <c r="E2" s="39" t="s">
        <v>266</v>
      </c>
      <c r="F2" s="39" t="s">
        <v>266</v>
      </c>
      <c r="G2" s="39" t="s">
        <v>266</v>
      </c>
      <c r="H2" s="39" t="s">
        <v>266</v>
      </c>
      <c r="I2" s="39" t="s">
        <v>265</v>
      </c>
      <c r="J2" s="39" t="s">
        <v>267</v>
      </c>
    </row>
    <row r="3" ht="15.75" customHeight="1">
      <c r="A3" s="39" t="s">
        <v>97</v>
      </c>
      <c r="B3" s="39" t="s">
        <v>266</v>
      </c>
      <c r="C3" s="39" t="s">
        <v>265</v>
      </c>
      <c r="D3" s="39" t="s">
        <v>265</v>
      </c>
      <c r="E3" s="39" t="s">
        <v>266</v>
      </c>
      <c r="F3" s="39" t="s">
        <v>265</v>
      </c>
      <c r="G3" s="39" t="s">
        <v>266</v>
      </c>
      <c r="H3" s="39" t="s">
        <v>265</v>
      </c>
      <c r="I3" s="39" t="s">
        <v>266</v>
      </c>
      <c r="J3" s="39" t="s">
        <v>268</v>
      </c>
    </row>
    <row r="4" ht="15.75" customHeight="1">
      <c r="A4" s="39" t="s">
        <v>196</v>
      </c>
      <c r="B4" s="39" t="s">
        <v>265</v>
      </c>
      <c r="C4" s="39" t="s">
        <v>265</v>
      </c>
      <c r="D4" s="39" t="s">
        <v>266</v>
      </c>
      <c r="E4" s="39" t="s">
        <v>266</v>
      </c>
      <c r="F4" s="39" t="s">
        <v>266</v>
      </c>
      <c r="G4" s="39"/>
      <c r="H4" s="39" t="s">
        <v>266</v>
      </c>
      <c r="I4" s="39" t="s">
        <v>265</v>
      </c>
      <c r="J4" s="39"/>
    </row>
    <row r="5" ht="15.75" customHeight="1">
      <c r="A5" s="39" t="s">
        <v>202</v>
      </c>
      <c r="B5" s="39" t="s">
        <v>266</v>
      </c>
      <c r="C5" s="39" t="s">
        <v>266</v>
      </c>
      <c r="D5" s="39" t="s">
        <v>266</v>
      </c>
      <c r="E5" s="39" t="s">
        <v>266</v>
      </c>
      <c r="F5" s="39" t="s">
        <v>266</v>
      </c>
      <c r="G5" s="39" t="s">
        <v>266</v>
      </c>
      <c r="H5" s="39"/>
      <c r="I5" s="39"/>
      <c r="J5" s="39"/>
    </row>
    <row r="6" ht="15.75" customHeight="1">
      <c r="A6" s="39" t="s">
        <v>205</v>
      </c>
      <c r="B6" s="39" t="s">
        <v>265</v>
      </c>
      <c r="C6" s="39" t="s">
        <v>265</v>
      </c>
      <c r="D6" s="39" t="s">
        <v>265</v>
      </c>
      <c r="E6" s="39" t="s">
        <v>266</v>
      </c>
      <c r="F6" s="39" t="s">
        <v>265</v>
      </c>
      <c r="G6" s="39" t="s">
        <v>265</v>
      </c>
      <c r="H6" s="39" t="s">
        <v>265</v>
      </c>
      <c r="I6" s="39" t="s">
        <v>265</v>
      </c>
      <c r="J6" s="39"/>
    </row>
    <row r="7" ht="15.75" customHeight="1">
      <c r="A7" s="39" t="s">
        <v>215</v>
      </c>
      <c r="B7" s="39" t="s">
        <v>266</v>
      </c>
      <c r="C7" s="39" t="s">
        <v>265</v>
      </c>
      <c r="D7" s="39" t="s">
        <v>265</v>
      </c>
      <c r="E7" s="39" t="s">
        <v>266</v>
      </c>
      <c r="F7" s="39" t="s">
        <v>265</v>
      </c>
      <c r="G7" s="39" t="s">
        <v>265</v>
      </c>
      <c r="H7" s="39" t="s">
        <v>266</v>
      </c>
      <c r="I7" s="39" t="s">
        <v>265</v>
      </c>
      <c r="J7" s="39"/>
    </row>
    <row r="8" ht="15.75" customHeight="1">
      <c r="A8" s="39" t="s">
        <v>241</v>
      </c>
      <c r="B8" s="39" t="s">
        <v>266</v>
      </c>
      <c r="C8" s="39" t="s">
        <v>265</v>
      </c>
      <c r="D8" s="39" t="s">
        <v>265</v>
      </c>
      <c r="E8" s="39" t="s">
        <v>265</v>
      </c>
      <c r="F8" s="39" t="s">
        <v>265</v>
      </c>
      <c r="G8" s="39" t="s">
        <v>265</v>
      </c>
      <c r="H8" s="39" t="s">
        <v>265</v>
      </c>
      <c r="I8" s="39" t="s">
        <v>266</v>
      </c>
      <c r="J8" s="40">
        <v>0.3</v>
      </c>
    </row>
    <row r="9" ht="15.75" customHeight="1">
      <c r="J9" s="41"/>
    </row>
    <row r="10" ht="15.75" customHeight="1">
      <c r="J10" s="41"/>
    </row>
    <row r="11" ht="15.75" customHeight="1">
      <c r="J11" s="41"/>
    </row>
    <row r="12" ht="15.75" customHeight="1">
      <c r="J12" s="41"/>
    </row>
    <row r="13" ht="15.75" customHeight="1">
      <c r="J13" s="41"/>
    </row>
    <row r="14" ht="15.75" customHeight="1">
      <c r="J14" s="41"/>
    </row>
    <row r="15" ht="15.75" customHeight="1">
      <c r="J15" s="41"/>
    </row>
    <row r="16" ht="15.75" customHeight="1">
      <c r="J16" s="41"/>
    </row>
    <row r="17" ht="15.75" customHeight="1">
      <c r="J17" s="41"/>
    </row>
    <row r="18" ht="15.75" customHeight="1">
      <c r="J18" s="41"/>
    </row>
    <row r="19" ht="15.75" customHeight="1">
      <c r="J19" s="41"/>
    </row>
    <row r="20" ht="15.75" customHeight="1">
      <c r="J20" s="41"/>
    </row>
    <row r="21" ht="15.75" customHeight="1">
      <c r="J21" s="41"/>
    </row>
    <row r="22" ht="15.75" customHeight="1">
      <c r="J22" s="41"/>
    </row>
    <row r="23" ht="15.75" customHeight="1">
      <c r="J23" s="41"/>
    </row>
    <row r="24" ht="15.75" customHeight="1">
      <c r="J24" s="41"/>
    </row>
    <row r="25" ht="15.75" customHeight="1">
      <c r="J25" s="41"/>
    </row>
    <row r="26" ht="15.75" customHeight="1">
      <c r="J26" s="41"/>
    </row>
    <row r="27" ht="15.75" customHeight="1">
      <c r="J27" s="41"/>
    </row>
    <row r="28" ht="15.75" customHeight="1">
      <c r="J28" s="41"/>
    </row>
    <row r="29" ht="15.75" customHeight="1">
      <c r="J29" s="41"/>
    </row>
    <row r="30" ht="15.75" customHeight="1">
      <c r="J30" s="41"/>
    </row>
    <row r="31" ht="15.75" customHeight="1">
      <c r="J31" s="41"/>
    </row>
    <row r="32" ht="15.75" customHeight="1">
      <c r="J32" s="41"/>
    </row>
    <row r="33" ht="15.75" customHeight="1">
      <c r="J33" s="41"/>
    </row>
    <row r="34" ht="15.75" customHeight="1">
      <c r="J34" s="41"/>
    </row>
    <row r="35" ht="15.75" customHeight="1">
      <c r="J35" s="41"/>
    </row>
    <row r="36" ht="15.75" customHeight="1">
      <c r="J36" s="41"/>
    </row>
    <row r="37" ht="15.75" customHeight="1">
      <c r="J37" s="41"/>
    </row>
    <row r="38" ht="15.75" customHeight="1">
      <c r="J38" s="41"/>
    </row>
    <row r="39" ht="15.75" customHeight="1">
      <c r="J39" s="41"/>
    </row>
    <row r="40" ht="15.75" customHeight="1">
      <c r="J40" s="41"/>
    </row>
    <row r="41" ht="15.75" customHeight="1">
      <c r="J41" s="41"/>
    </row>
    <row r="42" ht="15.75" customHeight="1">
      <c r="J42" s="41"/>
    </row>
    <row r="43" ht="15.75" customHeight="1">
      <c r="J43" s="41"/>
    </row>
    <row r="44" ht="15.75" customHeight="1">
      <c r="J44" s="41"/>
    </row>
    <row r="45" ht="15.75" customHeight="1">
      <c r="J45" s="41"/>
    </row>
    <row r="46" ht="15.75" customHeight="1">
      <c r="J46" s="41"/>
    </row>
    <row r="47" ht="15.75" customHeight="1">
      <c r="J47" s="41"/>
    </row>
    <row r="48" ht="15.75" customHeight="1">
      <c r="J48" s="41"/>
    </row>
    <row r="49" ht="15.75" customHeight="1">
      <c r="J49" s="41"/>
    </row>
    <row r="50" ht="15.75" customHeight="1">
      <c r="J50" s="41"/>
    </row>
    <row r="51" ht="15.75" customHeight="1">
      <c r="J51" s="41"/>
    </row>
    <row r="52" ht="15.75" customHeight="1">
      <c r="J52" s="41"/>
    </row>
    <row r="53" ht="15.75" customHeight="1">
      <c r="J53" s="41"/>
    </row>
    <row r="54" ht="15.75" customHeight="1">
      <c r="J54" s="41"/>
    </row>
    <row r="55" ht="15.75" customHeight="1">
      <c r="J55" s="41"/>
    </row>
    <row r="56" ht="15.75" customHeight="1">
      <c r="J56" s="41"/>
    </row>
    <row r="57" ht="15.75" customHeight="1">
      <c r="J57" s="41"/>
    </row>
    <row r="58" ht="15.75" customHeight="1">
      <c r="J58" s="41"/>
    </row>
    <row r="59" ht="15.75" customHeight="1">
      <c r="J59" s="41"/>
    </row>
    <row r="60" ht="15.75" customHeight="1">
      <c r="J60" s="41"/>
    </row>
    <row r="61" ht="15.75" customHeight="1">
      <c r="J61" s="41"/>
    </row>
    <row r="62" ht="15.75" customHeight="1">
      <c r="J62" s="41"/>
    </row>
    <row r="63" ht="15.75" customHeight="1">
      <c r="J63" s="41"/>
    </row>
    <row r="64" ht="15.75" customHeight="1">
      <c r="J64" s="41"/>
    </row>
    <row r="65" ht="15.75" customHeight="1">
      <c r="J65" s="41"/>
    </row>
    <row r="66" ht="15.75" customHeight="1">
      <c r="J66" s="41"/>
    </row>
    <row r="67" ht="15.75" customHeight="1">
      <c r="J67" s="41"/>
    </row>
    <row r="68" ht="15.75" customHeight="1">
      <c r="J68" s="41"/>
    </row>
    <row r="69" ht="15.75" customHeight="1">
      <c r="J69" s="41"/>
    </row>
    <row r="70" ht="15.75" customHeight="1">
      <c r="J70" s="41"/>
    </row>
    <row r="71" ht="15.75" customHeight="1">
      <c r="J71" s="41"/>
    </row>
    <row r="72" ht="15.75" customHeight="1">
      <c r="J72" s="41"/>
    </row>
    <row r="73" ht="15.75" customHeight="1">
      <c r="J73" s="41"/>
    </row>
    <row r="74" ht="15.75" customHeight="1">
      <c r="J74" s="41"/>
    </row>
    <row r="75" ht="15.75" customHeight="1">
      <c r="J75" s="41"/>
    </row>
    <row r="76" ht="15.75" customHeight="1">
      <c r="J76" s="41"/>
    </row>
    <row r="77" ht="15.75" customHeight="1">
      <c r="J77" s="41"/>
    </row>
    <row r="78" ht="15.75" customHeight="1">
      <c r="J78" s="41"/>
    </row>
    <row r="79" ht="15.75" customHeight="1">
      <c r="J79" s="41"/>
    </row>
    <row r="80" ht="15.75" customHeight="1">
      <c r="J80" s="41"/>
    </row>
    <row r="81" ht="15.75" customHeight="1">
      <c r="J81" s="41"/>
    </row>
    <row r="82" ht="15.75" customHeight="1">
      <c r="J82" s="41"/>
    </row>
    <row r="83" ht="15.75" customHeight="1">
      <c r="J83" s="41"/>
    </row>
    <row r="84" ht="15.75" customHeight="1">
      <c r="J84" s="41"/>
    </row>
    <row r="85" ht="15.75" customHeight="1">
      <c r="J85" s="41"/>
    </row>
    <row r="86" ht="15.75" customHeight="1">
      <c r="J86" s="41"/>
    </row>
    <row r="87" ht="15.75" customHeight="1">
      <c r="J87" s="41"/>
    </row>
    <row r="88" ht="15.75" customHeight="1">
      <c r="J88" s="41"/>
    </row>
    <row r="89" ht="15.75" customHeight="1">
      <c r="J89" s="41"/>
    </row>
    <row r="90" ht="15.75" customHeight="1">
      <c r="J90" s="41"/>
    </row>
    <row r="91" ht="15.75" customHeight="1">
      <c r="J91" s="41"/>
    </row>
    <row r="92" ht="15.75" customHeight="1">
      <c r="J92" s="41"/>
    </row>
    <row r="93" ht="15.75" customHeight="1">
      <c r="J93" s="41"/>
    </row>
    <row r="94" ht="15.75" customHeight="1">
      <c r="J94" s="41"/>
    </row>
    <row r="95" ht="15.75" customHeight="1">
      <c r="J95" s="41"/>
    </row>
    <row r="96" ht="15.75" customHeight="1">
      <c r="J96" s="41"/>
    </row>
    <row r="97" ht="15.75" customHeight="1">
      <c r="J97" s="41"/>
    </row>
    <row r="98" ht="15.75" customHeight="1">
      <c r="J98" s="41"/>
    </row>
    <row r="99" ht="15.75" customHeight="1">
      <c r="J99" s="41"/>
    </row>
    <row r="100" ht="15.75" customHeight="1">
      <c r="J100" s="41"/>
    </row>
    <row r="101" ht="15.75" customHeight="1">
      <c r="J101" s="41"/>
    </row>
    <row r="102" ht="15.75" customHeight="1">
      <c r="J102" s="41"/>
    </row>
    <row r="103" ht="15.75" customHeight="1">
      <c r="J103" s="41"/>
    </row>
    <row r="104" ht="15.75" customHeight="1">
      <c r="J104" s="41"/>
    </row>
    <row r="105" ht="15.75" customHeight="1">
      <c r="J105" s="41"/>
    </row>
    <row r="106" ht="15.75" customHeight="1">
      <c r="J106" s="41"/>
    </row>
    <row r="107" ht="15.75" customHeight="1">
      <c r="J107" s="41"/>
    </row>
    <row r="108" ht="15.75" customHeight="1">
      <c r="J108" s="41"/>
    </row>
    <row r="109" ht="15.75" customHeight="1">
      <c r="J109" s="41"/>
    </row>
    <row r="110" ht="15.75" customHeight="1">
      <c r="J110" s="41"/>
    </row>
    <row r="111" ht="15.75" customHeight="1">
      <c r="J111" s="41"/>
    </row>
    <row r="112" ht="15.75" customHeight="1">
      <c r="J112" s="41"/>
    </row>
    <row r="113" ht="15.75" customHeight="1">
      <c r="J113" s="41"/>
    </row>
    <row r="114" ht="15.75" customHeight="1">
      <c r="J114" s="41"/>
    </row>
    <row r="115" ht="15.75" customHeight="1">
      <c r="J115" s="41"/>
    </row>
    <row r="116" ht="15.75" customHeight="1">
      <c r="J116" s="41"/>
    </row>
    <row r="117" ht="15.75" customHeight="1">
      <c r="J117" s="41"/>
    </row>
    <row r="118" ht="15.75" customHeight="1">
      <c r="J118" s="41"/>
    </row>
    <row r="119" ht="15.75" customHeight="1">
      <c r="J119" s="41"/>
    </row>
    <row r="120" ht="15.75" customHeight="1">
      <c r="J120" s="41"/>
    </row>
    <row r="121" ht="15.75" customHeight="1">
      <c r="J121" s="41"/>
    </row>
    <row r="122" ht="15.75" customHeight="1">
      <c r="J122" s="41"/>
    </row>
    <row r="123" ht="15.75" customHeight="1">
      <c r="J123" s="41"/>
    </row>
    <row r="124" ht="15.75" customHeight="1">
      <c r="J124" s="41"/>
    </row>
    <row r="125" ht="15.75" customHeight="1">
      <c r="J125" s="41"/>
    </row>
    <row r="126" ht="15.75" customHeight="1">
      <c r="J126" s="41"/>
    </row>
    <row r="127" ht="15.75" customHeight="1">
      <c r="J127" s="41"/>
    </row>
    <row r="128" ht="15.75" customHeight="1">
      <c r="J128" s="41"/>
    </row>
    <row r="129" ht="15.75" customHeight="1">
      <c r="J129" s="41"/>
    </row>
    <row r="130" ht="15.75" customHeight="1">
      <c r="J130" s="41"/>
    </row>
    <row r="131" ht="15.75" customHeight="1">
      <c r="J131" s="41"/>
    </row>
    <row r="132" ht="15.75" customHeight="1">
      <c r="J132" s="41"/>
    </row>
    <row r="133" ht="15.75" customHeight="1">
      <c r="J133" s="41"/>
    </row>
    <row r="134" ht="15.75" customHeight="1">
      <c r="J134" s="41"/>
    </row>
    <row r="135" ht="15.75" customHeight="1">
      <c r="J135" s="41"/>
    </row>
    <row r="136" ht="15.75" customHeight="1">
      <c r="J136" s="41"/>
    </row>
    <row r="137" ht="15.75" customHeight="1">
      <c r="J137" s="41"/>
    </row>
    <row r="138" ht="15.75" customHeight="1">
      <c r="J138" s="41"/>
    </row>
    <row r="139" ht="15.75" customHeight="1">
      <c r="J139" s="41"/>
    </row>
    <row r="140" ht="15.75" customHeight="1">
      <c r="J140" s="41"/>
    </row>
    <row r="141" ht="15.75" customHeight="1">
      <c r="J141" s="41"/>
    </row>
    <row r="142" ht="15.75" customHeight="1">
      <c r="J142" s="41"/>
    </row>
    <row r="143" ht="15.75" customHeight="1">
      <c r="J143" s="41"/>
    </row>
    <row r="144" ht="15.75" customHeight="1">
      <c r="J144" s="41"/>
    </row>
    <row r="145" ht="15.75" customHeight="1">
      <c r="J145" s="41"/>
    </row>
    <row r="146" ht="15.75" customHeight="1">
      <c r="J146" s="41"/>
    </row>
    <row r="147" ht="15.75" customHeight="1">
      <c r="J147" s="41"/>
    </row>
    <row r="148" ht="15.75" customHeight="1">
      <c r="J148" s="41"/>
    </row>
    <row r="149" ht="15.75" customHeight="1">
      <c r="J149" s="41"/>
    </row>
    <row r="150" ht="15.75" customHeight="1">
      <c r="J150" s="41"/>
    </row>
    <row r="151" ht="15.75" customHeight="1">
      <c r="J151" s="41"/>
    </row>
    <row r="152" ht="15.75" customHeight="1">
      <c r="J152" s="41"/>
    </row>
    <row r="153" ht="15.75" customHeight="1">
      <c r="J153" s="41"/>
    </row>
    <row r="154" ht="15.75" customHeight="1">
      <c r="J154" s="41"/>
    </row>
    <row r="155" ht="15.75" customHeight="1">
      <c r="J155" s="41"/>
    </row>
    <row r="156" ht="15.75" customHeight="1">
      <c r="J156" s="41"/>
    </row>
    <row r="157" ht="15.75" customHeight="1">
      <c r="J157" s="41"/>
    </row>
    <row r="158" ht="15.75" customHeight="1">
      <c r="J158" s="41"/>
    </row>
    <row r="159" ht="15.75" customHeight="1">
      <c r="J159" s="41"/>
    </row>
    <row r="160" ht="15.75" customHeight="1">
      <c r="J160" s="41"/>
    </row>
    <row r="161" ht="15.75" customHeight="1">
      <c r="J161" s="41"/>
    </row>
    <row r="162" ht="15.75" customHeight="1">
      <c r="J162" s="41"/>
    </row>
    <row r="163" ht="15.75" customHeight="1">
      <c r="J163" s="41"/>
    </row>
    <row r="164" ht="15.75" customHeight="1">
      <c r="J164" s="41"/>
    </row>
    <row r="165" ht="15.75" customHeight="1">
      <c r="J165" s="41"/>
    </row>
    <row r="166" ht="15.75" customHeight="1">
      <c r="J166" s="41"/>
    </row>
    <row r="167" ht="15.75" customHeight="1">
      <c r="J167" s="41"/>
    </row>
    <row r="168" ht="15.75" customHeight="1">
      <c r="J168" s="41"/>
    </row>
    <row r="169" ht="15.75" customHeight="1">
      <c r="J169" s="41"/>
    </row>
    <row r="170" ht="15.75" customHeight="1">
      <c r="J170" s="41"/>
    </row>
    <row r="171" ht="15.75" customHeight="1">
      <c r="J171" s="41"/>
    </row>
    <row r="172" ht="15.75" customHeight="1">
      <c r="J172" s="41"/>
    </row>
    <row r="173" ht="15.75" customHeight="1">
      <c r="J173" s="41"/>
    </row>
    <row r="174" ht="15.75" customHeight="1">
      <c r="J174" s="41"/>
    </row>
    <row r="175" ht="15.75" customHeight="1">
      <c r="J175" s="41"/>
    </row>
    <row r="176" ht="15.75" customHeight="1">
      <c r="J176" s="41"/>
    </row>
    <row r="177" ht="15.75" customHeight="1">
      <c r="J177" s="41"/>
    </row>
    <row r="178" ht="15.75" customHeight="1">
      <c r="J178" s="41"/>
    </row>
    <row r="179" ht="15.75" customHeight="1">
      <c r="J179" s="41"/>
    </row>
    <row r="180" ht="15.75" customHeight="1">
      <c r="J180" s="41"/>
    </row>
    <row r="181" ht="15.75" customHeight="1">
      <c r="J181" s="41"/>
    </row>
    <row r="182" ht="15.75" customHeight="1">
      <c r="J182" s="41"/>
    </row>
    <row r="183" ht="15.75" customHeight="1">
      <c r="J183" s="41"/>
    </row>
    <row r="184" ht="15.75" customHeight="1">
      <c r="J184" s="41"/>
    </row>
    <row r="185" ht="15.75" customHeight="1">
      <c r="J185" s="41"/>
    </row>
    <row r="186" ht="15.75" customHeight="1">
      <c r="J186" s="41"/>
    </row>
    <row r="187" ht="15.75" customHeight="1">
      <c r="J187" s="41"/>
    </row>
    <row r="188" ht="15.75" customHeight="1">
      <c r="J188" s="41"/>
    </row>
    <row r="189" ht="15.75" customHeight="1">
      <c r="J189" s="41"/>
    </row>
    <row r="190" ht="15.75" customHeight="1">
      <c r="J190" s="41"/>
    </row>
    <row r="191" ht="15.75" customHeight="1">
      <c r="J191" s="41"/>
    </row>
    <row r="192" ht="15.75" customHeight="1">
      <c r="J192" s="41"/>
    </row>
    <row r="193" ht="15.75" customHeight="1">
      <c r="J193" s="41"/>
    </row>
    <row r="194" ht="15.75" customHeight="1">
      <c r="J194" s="41"/>
    </row>
    <row r="195" ht="15.75" customHeight="1">
      <c r="J195" s="41"/>
    </row>
    <row r="196" ht="15.75" customHeight="1">
      <c r="J196" s="41"/>
    </row>
    <row r="197" ht="15.75" customHeight="1">
      <c r="J197" s="41"/>
    </row>
    <row r="198" ht="15.75" customHeight="1">
      <c r="J198" s="41"/>
    </row>
    <row r="199" ht="15.75" customHeight="1">
      <c r="J199" s="41"/>
    </row>
    <row r="200" ht="15.75" customHeight="1">
      <c r="J200" s="41"/>
    </row>
    <row r="201" ht="15.75" customHeight="1">
      <c r="J201" s="41"/>
    </row>
    <row r="202" ht="15.75" customHeight="1">
      <c r="J202" s="41"/>
    </row>
    <row r="203" ht="15.75" customHeight="1">
      <c r="J203" s="41"/>
    </row>
    <row r="204" ht="15.75" customHeight="1">
      <c r="J204" s="41"/>
    </row>
    <row r="205" ht="15.75" customHeight="1">
      <c r="J205" s="41"/>
    </row>
    <row r="206" ht="15.75" customHeight="1">
      <c r="J206" s="41"/>
    </row>
    <row r="207" ht="15.75" customHeight="1">
      <c r="J207" s="41"/>
    </row>
    <row r="208" ht="15.75" customHeight="1">
      <c r="J208" s="41"/>
    </row>
    <row r="209" ht="15.75" customHeight="1">
      <c r="J209" s="41"/>
    </row>
    <row r="210" ht="15.75" customHeight="1">
      <c r="J210" s="41"/>
    </row>
    <row r="211" ht="15.75" customHeight="1">
      <c r="J211" s="41"/>
    </row>
    <row r="212" ht="15.75" customHeight="1">
      <c r="J212" s="41"/>
    </row>
    <row r="213" ht="15.75" customHeight="1">
      <c r="J213" s="41"/>
    </row>
    <row r="214" ht="15.75" customHeight="1">
      <c r="J214" s="41"/>
    </row>
    <row r="215" ht="15.75" customHeight="1">
      <c r="J215" s="41"/>
    </row>
    <row r="216" ht="15.75" customHeight="1">
      <c r="J216" s="41"/>
    </row>
    <row r="217" ht="15.75" customHeight="1">
      <c r="J217" s="41"/>
    </row>
    <row r="218" ht="15.75" customHeight="1">
      <c r="J218" s="41"/>
    </row>
    <row r="219" ht="15.75" customHeight="1">
      <c r="J219" s="41"/>
    </row>
    <row r="220" ht="15.75" customHeight="1">
      <c r="J220" s="4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1" width="23.88"/>
    <col customWidth="1" min="12" max="12" width="36.25"/>
  </cols>
  <sheetData>
    <row r="1" ht="15.75" customHeight="1">
      <c r="A1" s="42" t="s">
        <v>77</v>
      </c>
      <c r="B1" s="43" t="s">
        <v>84</v>
      </c>
      <c r="C1" s="43" t="s">
        <v>269</v>
      </c>
      <c r="D1" s="43" t="s">
        <v>270</v>
      </c>
      <c r="E1" s="43" t="s">
        <v>271</v>
      </c>
      <c r="F1" s="43" t="s">
        <v>272</v>
      </c>
      <c r="G1" s="43" t="s">
        <v>273</v>
      </c>
      <c r="H1" s="43" t="s">
        <v>274</v>
      </c>
      <c r="I1" s="43" t="s">
        <v>275</v>
      </c>
      <c r="J1" s="43" t="s">
        <v>276</v>
      </c>
      <c r="K1" s="43" t="s">
        <v>277</v>
      </c>
      <c r="L1" s="43" t="s">
        <v>278</v>
      </c>
    </row>
    <row r="2" ht="15.75" customHeight="1">
      <c r="A2" s="43" t="s">
        <v>194</v>
      </c>
      <c r="B2" s="43">
        <f>iferror(VLOOKUP(A2,'Vendor Tier Analysis'!A:N,11,false),"")</f>
        <v>5</v>
      </c>
      <c r="C2" s="43" t="s">
        <v>279</v>
      </c>
      <c r="D2" s="43" t="s">
        <v>280</v>
      </c>
      <c r="E2" s="43" t="s">
        <v>281</v>
      </c>
      <c r="F2" s="43" t="s">
        <v>282</v>
      </c>
      <c r="G2" s="43"/>
      <c r="H2" s="43"/>
      <c r="I2" s="43" t="s">
        <v>283</v>
      </c>
      <c r="J2" s="43" t="s">
        <v>284</v>
      </c>
      <c r="K2" s="43" t="s">
        <v>285</v>
      </c>
      <c r="L2" s="43" t="s">
        <v>286</v>
      </c>
    </row>
    <row r="3" ht="15.75" customHeight="1">
      <c r="A3" s="43" t="s">
        <v>107</v>
      </c>
      <c r="B3" s="43">
        <f>iferror(VLOOKUP(A3,'Vendor Tier Analysis'!A:N,11,false),"")</f>
        <v>2</v>
      </c>
      <c r="C3" s="43" t="s">
        <v>287</v>
      </c>
      <c r="D3" s="43" t="s">
        <v>288</v>
      </c>
      <c r="E3" s="43" t="s">
        <v>281</v>
      </c>
      <c r="F3" s="43" t="s">
        <v>289</v>
      </c>
      <c r="G3" s="43"/>
      <c r="H3" s="43"/>
      <c r="I3" s="43" t="s">
        <v>283</v>
      </c>
      <c r="J3" s="43" t="s">
        <v>290</v>
      </c>
      <c r="K3" s="43" t="s">
        <v>291</v>
      </c>
      <c r="L3" s="43" t="s">
        <v>292</v>
      </c>
    </row>
    <row r="4" ht="15.75" customHeight="1">
      <c r="A4" s="44" t="s">
        <v>85</v>
      </c>
      <c r="B4" s="43">
        <f>iferror(VLOOKUP(A4,'Vendor Tier Analysis'!A:N,11,false),"")</f>
        <v>5</v>
      </c>
      <c r="C4" s="43" t="s">
        <v>293</v>
      </c>
      <c r="D4" s="43" t="s">
        <v>294</v>
      </c>
      <c r="E4" s="43" t="s">
        <v>281</v>
      </c>
      <c r="F4" s="43" t="s">
        <v>295</v>
      </c>
      <c r="G4" s="43" t="s">
        <v>296</v>
      </c>
      <c r="H4" s="43"/>
      <c r="I4" s="43" t="s">
        <v>283</v>
      </c>
      <c r="J4" s="43" t="s">
        <v>297</v>
      </c>
      <c r="K4" s="43" t="s">
        <v>298</v>
      </c>
      <c r="L4" s="43" t="s">
        <v>299</v>
      </c>
    </row>
    <row r="5" ht="15.75" customHeight="1">
      <c r="A5" s="43" t="s">
        <v>175</v>
      </c>
      <c r="B5" s="43">
        <f>iferror(VLOOKUP(A5,'Vendor Tier Analysis'!A:N,11,false),"")</f>
        <v>3</v>
      </c>
      <c r="C5" s="43" t="s">
        <v>279</v>
      </c>
      <c r="D5" s="43" t="s">
        <v>176</v>
      </c>
      <c r="E5" s="43" t="s">
        <v>281</v>
      </c>
      <c r="F5" s="43" t="s">
        <v>300</v>
      </c>
      <c r="G5" s="43"/>
      <c r="H5" s="43"/>
      <c r="I5" s="43" t="s">
        <v>283</v>
      </c>
      <c r="J5" s="43" t="s">
        <v>301</v>
      </c>
      <c r="K5" s="43" t="s">
        <v>302</v>
      </c>
      <c r="L5" s="43" t="s">
        <v>303</v>
      </c>
    </row>
    <row r="6" ht="15.75" customHeight="1">
      <c r="A6" s="43" t="s">
        <v>304</v>
      </c>
      <c r="B6" s="43" t="str">
        <f>iferror(VLOOKUP(A6,'Vendor Tier Analysis'!A:N,11,false),"")</f>
        <v/>
      </c>
      <c r="C6" s="43" t="s">
        <v>287</v>
      </c>
      <c r="D6" s="43" t="s">
        <v>305</v>
      </c>
      <c r="E6" s="43" t="s">
        <v>281</v>
      </c>
      <c r="F6" s="43"/>
      <c r="G6" s="43"/>
      <c r="H6" s="43"/>
      <c r="I6" s="43" t="s">
        <v>283</v>
      </c>
      <c r="J6" s="43" t="s">
        <v>306</v>
      </c>
      <c r="K6" s="43" t="s">
        <v>307</v>
      </c>
      <c r="L6" s="45" t="s">
        <v>308</v>
      </c>
    </row>
    <row r="7" ht="15.75" customHeight="1">
      <c r="A7" s="43" t="s">
        <v>93</v>
      </c>
      <c r="B7" s="43">
        <f>iferror(VLOOKUP(A7,'Vendor Tier Analysis'!A:N,11,false),"")</f>
        <v>1</v>
      </c>
      <c r="C7" s="43" t="s">
        <v>309</v>
      </c>
      <c r="D7" s="43" t="s">
        <v>310</v>
      </c>
      <c r="E7" s="43" t="s">
        <v>281</v>
      </c>
      <c r="F7" s="43" t="s">
        <v>311</v>
      </c>
      <c r="G7" s="43"/>
      <c r="H7" s="43"/>
      <c r="I7" s="43" t="s">
        <v>283</v>
      </c>
      <c r="J7" s="43" t="s">
        <v>312</v>
      </c>
      <c r="K7" s="43"/>
      <c r="L7" s="43" t="s">
        <v>313</v>
      </c>
    </row>
    <row r="8" ht="15.75" customHeight="1">
      <c r="A8" s="43" t="s">
        <v>99</v>
      </c>
      <c r="B8" s="43">
        <f>iferror(VLOOKUP(A8,'Vendor Tier Analysis'!A:N,11,false),"")</f>
        <v>2</v>
      </c>
      <c r="C8" s="43" t="s">
        <v>287</v>
      </c>
      <c r="D8" s="43" t="s">
        <v>288</v>
      </c>
      <c r="E8" s="43" t="s">
        <v>281</v>
      </c>
      <c r="F8" s="43" t="s">
        <v>314</v>
      </c>
      <c r="G8" s="43"/>
      <c r="H8" s="43"/>
      <c r="I8" s="43" t="s">
        <v>283</v>
      </c>
      <c r="J8" s="43" t="s">
        <v>315</v>
      </c>
      <c r="K8" s="43" t="s">
        <v>316</v>
      </c>
      <c r="L8" s="45" t="s">
        <v>317</v>
      </c>
    </row>
    <row r="9" ht="15.75" customHeight="1">
      <c r="A9" s="43" t="s">
        <v>318</v>
      </c>
      <c r="B9" s="43" t="str">
        <f>iferror(VLOOKUP(A9,'Vendor Tier Analysis'!A:N,11,false),"")</f>
        <v/>
      </c>
      <c r="C9" s="43" t="s">
        <v>279</v>
      </c>
      <c r="D9" s="43" t="s">
        <v>319</v>
      </c>
      <c r="E9" s="43" t="s">
        <v>281</v>
      </c>
      <c r="F9" s="43" t="s">
        <v>320</v>
      </c>
      <c r="G9" s="43" t="s">
        <v>321</v>
      </c>
      <c r="H9" s="43"/>
      <c r="I9" s="43" t="s">
        <v>283</v>
      </c>
      <c r="J9" s="43" t="s">
        <v>322</v>
      </c>
      <c r="K9" s="43" t="s">
        <v>323</v>
      </c>
      <c r="L9" s="45" t="s">
        <v>324</v>
      </c>
    </row>
    <row r="10" ht="15.75" customHeight="1">
      <c r="A10" s="43" t="s">
        <v>325</v>
      </c>
      <c r="B10" s="43" t="str">
        <f>iferror(VLOOKUP(A10,'Vendor Tier Analysis'!A:N,11,false),"")</f>
        <v/>
      </c>
      <c r="C10" s="43" t="s">
        <v>326</v>
      </c>
      <c r="D10" s="43" t="s">
        <v>327</v>
      </c>
      <c r="E10" s="43" t="s">
        <v>281</v>
      </c>
      <c r="F10" s="43"/>
      <c r="G10" s="43"/>
      <c r="H10" s="43"/>
      <c r="I10" s="43" t="s">
        <v>283</v>
      </c>
      <c r="J10" s="43" t="s">
        <v>328</v>
      </c>
      <c r="K10" s="43" t="s">
        <v>329</v>
      </c>
      <c r="L10" s="43"/>
    </row>
    <row r="11" ht="15.75" customHeight="1">
      <c r="A11" s="43" t="s">
        <v>178</v>
      </c>
      <c r="B11" s="43">
        <f>iferror(VLOOKUP(A11,'Vendor Tier Analysis'!A:N,11,false),"")</f>
        <v>1</v>
      </c>
      <c r="C11" s="43" t="s">
        <v>309</v>
      </c>
      <c r="D11" s="43" t="s">
        <v>330</v>
      </c>
      <c r="E11" s="43" t="s">
        <v>281</v>
      </c>
      <c r="F11" s="43" t="s">
        <v>331</v>
      </c>
      <c r="G11" s="43"/>
      <c r="H11" s="43"/>
      <c r="I11" s="43" t="s">
        <v>283</v>
      </c>
      <c r="J11" s="43"/>
      <c r="K11" s="43"/>
      <c r="L11" s="43"/>
    </row>
    <row r="12" ht="15.75" customHeight="1">
      <c r="A12" s="44" t="s">
        <v>143</v>
      </c>
      <c r="B12" s="43">
        <f>iferror(VLOOKUP(A12,'Vendor Tier Analysis'!A:N,11,false),"")</f>
        <v>3</v>
      </c>
      <c r="C12" s="43" t="s">
        <v>332</v>
      </c>
      <c r="D12" s="43" t="s">
        <v>333</v>
      </c>
      <c r="E12" s="43" t="s">
        <v>281</v>
      </c>
      <c r="F12" s="43" t="s">
        <v>334</v>
      </c>
      <c r="G12" s="43" t="s">
        <v>335</v>
      </c>
      <c r="H12" s="43"/>
      <c r="I12" s="43" t="s">
        <v>283</v>
      </c>
      <c r="J12" s="43" t="s">
        <v>336</v>
      </c>
      <c r="K12" s="43" t="s">
        <v>337</v>
      </c>
      <c r="L12" s="45" t="s">
        <v>338</v>
      </c>
    </row>
    <row r="13" ht="15.75" customHeight="1">
      <c r="A13" s="44" t="s">
        <v>339</v>
      </c>
      <c r="B13" s="43">
        <f>iferror(VLOOKUP(A13,'Vendor Tier Analysis'!A:N,11,false),"")</f>
        <v>3</v>
      </c>
      <c r="C13" s="43" t="s">
        <v>332</v>
      </c>
      <c r="D13" s="43" t="s">
        <v>340</v>
      </c>
      <c r="E13" s="43" t="s">
        <v>281</v>
      </c>
      <c r="F13" s="43" t="s">
        <v>341</v>
      </c>
      <c r="G13" s="43" t="s">
        <v>342</v>
      </c>
      <c r="H13" s="43"/>
      <c r="I13" s="43" t="s">
        <v>283</v>
      </c>
      <c r="J13" s="43" t="s">
        <v>343</v>
      </c>
      <c r="K13" s="43" t="s">
        <v>344</v>
      </c>
      <c r="L13" s="43" t="s">
        <v>345</v>
      </c>
    </row>
    <row r="14" ht="15.75" customHeight="1">
      <c r="A14" s="44" t="s">
        <v>97</v>
      </c>
      <c r="B14" s="43">
        <f>iferror(VLOOKUP(A14,'Vendor Tier Analysis'!A:N,11,false),"")</f>
        <v>3</v>
      </c>
      <c r="C14" s="43" t="s">
        <v>332</v>
      </c>
      <c r="D14" s="43" t="s">
        <v>340</v>
      </c>
      <c r="E14" s="43" t="s">
        <v>281</v>
      </c>
      <c r="F14" s="43" t="s">
        <v>346</v>
      </c>
      <c r="G14" s="43" t="s">
        <v>347</v>
      </c>
      <c r="H14" s="43"/>
      <c r="I14" s="43" t="s">
        <v>283</v>
      </c>
      <c r="J14" s="43" t="s">
        <v>348</v>
      </c>
      <c r="K14" s="43" t="s">
        <v>349</v>
      </c>
      <c r="L14" s="43" t="s">
        <v>350</v>
      </c>
    </row>
    <row r="15" ht="15.75" customHeight="1">
      <c r="A15" s="43" t="s">
        <v>241</v>
      </c>
      <c r="B15" s="43" t="str">
        <f>iferror(VLOOKUP(A15,'Vendor Tier Analysis'!A:N,11,false),"")</f>
        <v/>
      </c>
      <c r="C15" s="43" t="s">
        <v>332</v>
      </c>
      <c r="D15" s="43" t="s">
        <v>340</v>
      </c>
      <c r="E15" s="43" t="s">
        <v>281</v>
      </c>
      <c r="F15" s="43" t="s">
        <v>351</v>
      </c>
      <c r="G15" s="43" t="s">
        <v>352</v>
      </c>
      <c r="H15" s="43"/>
      <c r="I15" s="43" t="s">
        <v>283</v>
      </c>
      <c r="J15" s="43" t="s">
        <v>353</v>
      </c>
      <c r="K15" s="43" t="s">
        <v>354</v>
      </c>
      <c r="L15" s="43" t="s">
        <v>355</v>
      </c>
    </row>
    <row r="16" ht="15.75" customHeight="1">
      <c r="A16" s="43" t="s">
        <v>110</v>
      </c>
      <c r="B16" s="43">
        <f>iferror(VLOOKUP(A16,'Vendor Tier Analysis'!A:N,11,false),"")</f>
        <v>4</v>
      </c>
      <c r="C16" s="43" t="s">
        <v>332</v>
      </c>
      <c r="D16" s="43" t="s">
        <v>112</v>
      </c>
      <c r="E16" s="43" t="s">
        <v>281</v>
      </c>
      <c r="F16" s="43" t="s">
        <v>356</v>
      </c>
      <c r="G16" s="43"/>
      <c r="H16" s="43"/>
      <c r="I16" s="43" t="s">
        <v>283</v>
      </c>
      <c r="J16" s="43" t="s">
        <v>357</v>
      </c>
      <c r="K16" s="43" t="s">
        <v>358</v>
      </c>
      <c r="L16" s="43" t="s">
        <v>359</v>
      </c>
    </row>
    <row r="17" ht="15.75" customHeight="1">
      <c r="A17" s="43" t="s">
        <v>179</v>
      </c>
      <c r="B17" s="43">
        <f>iferror(VLOOKUP(A17,'Vendor Tier Analysis'!A:N,11,false),"")</f>
        <v>2</v>
      </c>
      <c r="C17" s="43" t="s">
        <v>332</v>
      </c>
      <c r="D17" s="43" t="s">
        <v>360</v>
      </c>
      <c r="E17" s="43" t="s">
        <v>281</v>
      </c>
      <c r="F17" s="43" t="s">
        <v>361</v>
      </c>
      <c r="G17" s="43"/>
      <c r="H17" s="43"/>
      <c r="I17" s="43" t="s">
        <v>283</v>
      </c>
      <c r="J17" s="43" t="s">
        <v>362</v>
      </c>
      <c r="K17" s="43" t="s">
        <v>363</v>
      </c>
      <c r="L17" s="43" t="s">
        <v>364</v>
      </c>
    </row>
    <row r="18" ht="15.75" customHeight="1">
      <c r="A18" s="43" t="s">
        <v>163</v>
      </c>
      <c r="B18" s="43">
        <f>iferror(VLOOKUP(A18,'Vendor Tier Analysis'!A:N,11,false),"")</f>
        <v>2</v>
      </c>
      <c r="C18" s="43" t="s">
        <v>326</v>
      </c>
      <c r="D18" s="43" t="s">
        <v>365</v>
      </c>
      <c r="E18" s="43" t="s">
        <v>281</v>
      </c>
      <c r="F18" s="43"/>
      <c r="G18" s="43"/>
      <c r="H18" s="43"/>
      <c r="I18" s="43" t="s">
        <v>283</v>
      </c>
      <c r="J18" s="43" t="s">
        <v>366</v>
      </c>
      <c r="K18" s="43"/>
      <c r="L18" s="43" t="s">
        <v>367</v>
      </c>
    </row>
    <row r="19" ht="15.75" customHeight="1">
      <c r="A19" s="43" t="s">
        <v>368</v>
      </c>
      <c r="B19" s="43" t="str">
        <f>iferror(VLOOKUP(A19,'Vendor Tier Analysis'!A:N,11,false),"")</f>
        <v/>
      </c>
      <c r="C19" s="43" t="s">
        <v>326</v>
      </c>
      <c r="D19" s="43" t="s">
        <v>369</v>
      </c>
      <c r="E19" s="43" t="s">
        <v>281</v>
      </c>
      <c r="F19" s="43"/>
      <c r="G19" s="43"/>
      <c r="H19" s="43"/>
      <c r="I19" s="43" t="s">
        <v>283</v>
      </c>
      <c r="J19" s="43" t="s">
        <v>370</v>
      </c>
      <c r="K19" s="43" t="s">
        <v>371</v>
      </c>
      <c r="L19" s="43" t="s">
        <v>372</v>
      </c>
    </row>
    <row r="20" ht="15.75" customHeight="1">
      <c r="A20" s="43" t="s">
        <v>373</v>
      </c>
      <c r="B20" s="43" t="str">
        <f>iferror(VLOOKUP(A20,'Vendor Tier Analysis'!A:N,11,false),"")</f>
        <v/>
      </c>
      <c r="C20" s="43" t="s">
        <v>326</v>
      </c>
      <c r="D20" s="43" t="s">
        <v>305</v>
      </c>
      <c r="E20" s="43" t="s">
        <v>281</v>
      </c>
      <c r="F20" s="43"/>
      <c r="G20" s="43"/>
      <c r="H20" s="43"/>
      <c r="I20" s="43" t="s">
        <v>283</v>
      </c>
      <c r="J20" s="43" t="s">
        <v>374</v>
      </c>
      <c r="K20" s="43" t="s">
        <v>375</v>
      </c>
      <c r="L20" s="45" t="s">
        <v>376</v>
      </c>
    </row>
    <row r="21" ht="15.75" customHeight="1">
      <c r="A21" s="43" t="s">
        <v>377</v>
      </c>
      <c r="B21" s="43">
        <f>iferror(VLOOKUP(A21,'Vendor Tier Analysis'!A:N,11,false),"")</f>
        <v>1</v>
      </c>
      <c r="C21" s="43" t="s">
        <v>309</v>
      </c>
      <c r="D21" s="43" t="s">
        <v>330</v>
      </c>
      <c r="E21" s="43" t="s">
        <v>281</v>
      </c>
      <c r="F21" s="43"/>
      <c r="G21" s="43"/>
      <c r="H21" s="43"/>
      <c r="I21" s="43" t="s">
        <v>283</v>
      </c>
      <c r="J21" s="43"/>
      <c r="K21" s="43"/>
      <c r="L21" s="43"/>
    </row>
    <row r="22" ht="15.75" customHeight="1">
      <c r="A22" s="43" t="s">
        <v>199</v>
      </c>
      <c r="B22" s="43">
        <f>iferror(VLOOKUP(A22,'Vendor Tier Analysis'!A:N,11,false),"")</f>
        <v>3</v>
      </c>
      <c r="C22" s="43" t="s">
        <v>326</v>
      </c>
      <c r="D22" s="43" t="s">
        <v>378</v>
      </c>
      <c r="E22" s="43" t="s">
        <v>281</v>
      </c>
      <c r="F22" s="43"/>
      <c r="G22" s="43"/>
      <c r="H22" s="43"/>
      <c r="I22" s="43" t="s">
        <v>283</v>
      </c>
      <c r="J22" s="43" t="s">
        <v>379</v>
      </c>
      <c r="K22" s="43" t="s">
        <v>380</v>
      </c>
      <c r="L22" s="43" t="s">
        <v>381</v>
      </c>
    </row>
    <row r="23" ht="15.75" customHeight="1">
      <c r="A23" s="43" t="s">
        <v>382</v>
      </c>
      <c r="B23" s="43" t="str">
        <f>iferror(VLOOKUP(A23,'Vendor Tier Analysis'!A:N,11,false),"")</f>
        <v/>
      </c>
      <c r="C23" s="43" t="s">
        <v>326</v>
      </c>
      <c r="D23" s="43" t="s">
        <v>369</v>
      </c>
      <c r="E23" s="43" t="s">
        <v>281</v>
      </c>
      <c r="F23" s="43"/>
      <c r="G23" s="43"/>
      <c r="H23" s="43"/>
      <c r="I23" s="43" t="s">
        <v>283</v>
      </c>
      <c r="J23" s="43" t="s">
        <v>383</v>
      </c>
      <c r="K23" s="43"/>
      <c r="L23" s="43" t="s">
        <v>384</v>
      </c>
    </row>
    <row r="24" ht="15.75" customHeight="1">
      <c r="A24" s="43" t="s">
        <v>187</v>
      </c>
      <c r="B24" s="43">
        <f>iferror(VLOOKUP(A24,'Vendor Tier Analysis'!A:N,11,false),"")</f>
        <v>2</v>
      </c>
      <c r="C24" s="43" t="s">
        <v>326</v>
      </c>
      <c r="D24" s="43" t="s">
        <v>385</v>
      </c>
      <c r="E24" s="43" t="s">
        <v>281</v>
      </c>
      <c r="F24" s="43"/>
      <c r="G24" s="43"/>
      <c r="H24" s="43"/>
      <c r="I24" s="43" t="s">
        <v>283</v>
      </c>
      <c r="J24" s="43" t="s">
        <v>386</v>
      </c>
      <c r="K24" s="43" t="s">
        <v>387</v>
      </c>
      <c r="L24" s="43" t="s">
        <v>388</v>
      </c>
    </row>
    <row r="25" ht="15.75" customHeight="1">
      <c r="A25" s="43" t="s">
        <v>389</v>
      </c>
      <c r="B25" s="43" t="str">
        <f>iferror(VLOOKUP(A25,'Vendor Tier Analysis'!A:N,11,false),"")</f>
        <v/>
      </c>
      <c r="C25" s="43" t="s">
        <v>326</v>
      </c>
      <c r="D25" s="43" t="s">
        <v>385</v>
      </c>
      <c r="E25" s="43" t="s">
        <v>281</v>
      </c>
      <c r="F25" s="43"/>
      <c r="G25" s="43"/>
      <c r="H25" s="43"/>
      <c r="I25" s="43" t="s">
        <v>283</v>
      </c>
      <c r="J25" s="43" t="s">
        <v>390</v>
      </c>
      <c r="K25" s="43" t="s">
        <v>391</v>
      </c>
      <c r="L25" s="46" t="s">
        <v>392</v>
      </c>
    </row>
    <row r="26" ht="15.75" customHeight="1">
      <c r="A26" s="43" t="s">
        <v>393</v>
      </c>
      <c r="B26" s="43" t="str">
        <f>iferror(VLOOKUP(A26,'Vendor Tier Analysis'!A:N,11,false),"")</f>
        <v/>
      </c>
      <c r="C26" s="43" t="s">
        <v>326</v>
      </c>
      <c r="D26" s="43" t="s">
        <v>394</v>
      </c>
      <c r="E26" s="43" t="s">
        <v>281</v>
      </c>
      <c r="F26" s="43"/>
      <c r="G26" s="43"/>
      <c r="H26" s="43"/>
      <c r="I26" s="43" t="s">
        <v>283</v>
      </c>
      <c r="J26" s="43" t="s">
        <v>395</v>
      </c>
      <c r="K26" s="43" t="s">
        <v>396</v>
      </c>
      <c r="L26" s="43" t="s">
        <v>397</v>
      </c>
    </row>
    <row r="27" ht="15.75" customHeight="1">
      <c r="A27" s="43" t="s">
        <v>212</v>
      </c>
      <c r="B27" s="43">
        <f>iferror(VLOOKUP(A27,'Vendor Tier Analysis'!A:N,11,false),"")</f>
        <v>2</v>
      </c>
      <c r="C27" s="47" t="s">
        <v>326</v>
      </c>
      <c r="D27" s="43" t="s">
        <v>369</v>
      </c>
      <c r="E27" s="43" t="s">
        <v>281</v>
      </c>
      <c r="F27" s="43"/>
      <c r="G27" s="43"/>
      <c r="H27" s="43"/>
      <c r="I27" s="43" t="s">
        <v>283</v>
      </c>
      <c r="J27" s="43" t="s">
        <v>398</v>
      </c>
      <c r="K27" s="43" t="s">
        <v>399</v>
      </c>
      <c r="L27" s="43"/>
    </row>
    <row r="28" ht="15.75" customHeight="1">
      <c r="A28" s="43" t="s">
        <v>400</v>
      </c>
      <c r="B28" s="43" t="str">
        <f>iferror(VLOOKUP(A28,'Vendor Tier Analysis'!A:N,11,false),"")</f>
        <v/>
      </c>
      <c r="C28" s="47" t="s">
        <v>326</v>
      </c>
      <c r="D28" s="43" t="s">
        <v>369</v>
      </c>
      <c r="E28" s="43" t="s">
        <v>281</v>
      </c>
      <c r="F28" s="43"/>
      <c r="G28" s="43"/>
      <c r="H28" s="43"/>
      <c r="I28" s="43" t="s">
        <v>283</v>
      </c>
      <c r="J28" s="43" t="s">
        <v>401</v>
      </c>
      <c r="K28" s="43" t="s">
        <v>402</v>
      </c>
      <c r="L28" s="43" t="s">
        <v>403</v>
      </c>
    </row>
    <row r="29" ht="15.75" customHeight="1">
      <c r="A29" s="48" t="s">
        <v>133</v>
      </c>
      <c r="B29" s="43">
        <f>iferror(VLOOKUP(A29,'Vendor Tier Analysis'!A:N,11,false),"")</f>
        <v>3</v>
      </c>
      <c r="C29" s="43" t="s">
        <v>332</v>
      </c>
      <c r="D29" s="43" t="s">
        <v>404</v>
      </c>
      <c r="E29" s="43" t="s">
        <v>281</v>
      </c>
      <c r="F29" s="43"/>
      <c r="G29" s="43"/>
      <c r="H29" s="43"/>
      <c r="I29" s="43" t="s">
        <v>283</v>
      </c>
      <c r="J29" s="43" t="s">
        <v>405</v>
      </c>
      <c r="K29" s="43"/>
      <c r="L29" s="43" t="s">
        <v>406</v>
      </c>
    </row>
    <row r="30" ht="15.75" customHeight="1">
      <c r="A30" s="43" t="s">
        <v>407</v>
      </c>
      <c r="B30" s="43" t="str">
        <f>iferror(VLOOKUP(A30,'Vendor Tier Analysis'!A:N,11,false),"")</f>
        <v/>
      </c>
      <c r="C30" s="43" t="s">
        <v>310</v>
      </c>
      <c r="D30" s="43" t="s">
        <v>408</v>
      </c>
      <c r="E30" s="43" t="s">
        <v>281</v>
      </c>
      <c r="F30" s="43"/>
      <c r="G30" s="43"/>
      <c r="H30" s="43"/>
      <c r="I30" s="43" t="s">
        <v>283</v>
      </c>
      <c r="J30" s="43" t="s">
        <v>409</v>
      </c>
      <c r="K30" s="43" t="s">
        <v>410</v>
      </c>
      <c r="L30" s="43" t="s">
        <v>411</v>
      </c>
    </row>
    <row r="31" ht="15.75" customHeight="1">
      <c r="A31" s="43" t="s">
        <v>412</v>
      </c>
      <c r="B31" s="43" t="str">
        <f>iferror(VLOOKUP(A31,'Vendor Tier Analysis'!A:N,11,false),"")</f>
        <v/>
      </c>
      <c r="C31" s="43" t="s">
        <v>332</v>
      </c>
      <c r="D31" s="43" t="s">
        <v>294</v>
      </c>
      <c r="E31" s="43" t="s">
        <v>281</v>
      </c>
      <c r="F31" s="43"/>
      <c r="G31" s="43"/>
      <c r="H31" s="43"/>
      <c r="I31" s="43" t="s">
        <v>283</v>
      </c>
      <c r="J31" s="43" t="s">
        <v>297</v>
      </c>
      <c r="K31" s="43" t="s">
        <v>298</v>
      </c>
      <c r="L31" s="43" t="s">
        <v>299</v>
      </c>
    </row>
    <row r="32" ht="15.75" customHeight="1">
      <c r="A32" s="43" t="s">
        <v>413</v>
      </c>
      <c r="B32" s="43" t="str">
        <f>iferror(VLOOKUP(A32,'Vendor Tier Analysis'!A:N,11,false),"")</f>
        <v/>
      </c>
      <c r="C32" s="43" t="s">
        <v>326</v>
      </c>
      <c r="D32" s="43" t="s">
        <v>327</v>
      </c>
      <c r="E32" s="43" t="s">
        <v>281</v>
      </c>
      <c r="F32" s="43"/>
      <c r="G32" s="43"/>
      <c r="H32" s="43"/>
      <c r="I32" s="43" t="s">
        <v>283</v>
      </c>
      <c r="J32" s="43" t="s">
        <v>414</v>
      </c>
      <c r="K32" s="43" t="s">
        <v>415</v>
      </c>
      <c r="L32" s="43" t="s">
        <v>416</v>
      </c>
    </row>
    <row r="33" ht="15.75" customHeight="1">
      <c r="A33" s="43" t="s">
        <v>205</v>
      </c>
      <c r="B33" s="43">
        <f>iferror(VLOOKUP(A33,'Vendor Tier Analysis'!A:N,11,false),"")</f>
        <v>3</v>
      </c>
      <c r="C33" s="43" t="s">
        <v>332</v>
      </c>
      <c r="D33" s="43" t="s">
        <v>340</v>
      </c>
      <c r="E33" s="43" t="s">
        <v>281</v>
      </c>
      <c r="F33" s="43" t="s">
        <v>361</v>
      </c>
      <c r="G33" s="43" t="s">
        <v>417</v>
      </c>
      <c r="H33" s="43"/>
      <c r="I33" s="43" t="s">
        <v>283</v>
      </c>
      <c r="J33" s="43"/>
      <c r="K33" s="43"/>
      <c r="L33" s="49"/>
    </row>
    <row r="34" ht="15.75" customHeight="1">
      <c r="A34" s="50" t="s">
        <v>418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34">
    <sortState ref="A1:L34">
      <sortCondition ref="B1:B34"/>
    </sortState>
  </autoFilter>
  <dataValidations>
    <dataValidation type="list" allowBlank="1" showErrorMessage="1" sqref="E2:E33">
      <formula1>'Stage List'!$A$2:$A$9</formula1>
    </dataValidation>
  </dataValidations>
  <hyperlinks>
    <hyperlink r:id="rId1" ref="L6"/>
    <hyperlink r:id="rId2" ref="L8"/>
    <hyperlink r:id="rId3" ref="L9"/>
    <hyperlink r:id="rId4" ref="L12"/>
    <hyperlink r:id="rId5" ref="L20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1" width="28.75"/>
  </cols>
  <sheetData>
    <row r="1" ht="27.0" customHeight="1">
      <c r="A1" s="42" t="s">
        <v>77</v>
      </c>
      <c r="B1" s="43" t="s">
        <v>269</v>
      </c>
      <c r="C1" s="43" t="s">
        <v>270</v>
      </c>
      <c r="D1" s="43" t="s">
        <v>271</v>
      </c>
      <c r="E1" s="43" t="s">
        <v>272</v>
      </c>
      <c r="F1" s="43" t="s">
        <v>273</v>
      </c>
      <c r="G1" s="43" t="s">
        <v>274</v>
      </c>
      <c r="H1" s="43" t="s">
        <v>275</v>
      </c>
      <c r="I1" s="43" t="s">
        <v>276</v>
      </c>
      <c r="J1" s="43" t="s">
        <v>277</v>
      </c>
      <c r="K1" s="43" t="s">
        <v>278</v>
      </c>
    </row>
    <row r="2" ht="33.75" customHeight="1">
      <c r="A2" s="43" t="s">
        <v>419</v>
      </c>
      <c r="B2" s="43" t="s">
        <v>420</v>
      </c>
      <c r="C2" s="43" t="s">
        <v>421</v>
      </c>
      <c r="D2" s="43" t="s">
        <v>281</v>
      </c>
      <c r="E2" s="43"/>
      <c r="F2" s="43"/>
      <c r="G2" s="43"/>
      <c r="H2" s="43" t="s">
        <v>283</v>
      </c>
      <c r="I2" s="43" t="s">
        <v>422</v>
      </c>
      <c r="J2" s="43" t="s">
        <v>423</v>
      </c>
      <c r="K2" s="43" t="s">
        <v>424</v>
      </c>
    </row>
    <row r="3" ht="33.75" customHeight="1">
      <c r="A3" s="43" t="s">
        <v>425</v>
      </c>
      <c r="B3" s="43" t="s">
        <v>426</v>
      </c>
      <c r="C3" s="43" t="s">
        <v>426</v>
      </c>
      <c r="D3" s="43" t="s">
        <v>281</v>
      </c>
      <c r="E3" s="43"/>
      <c r="F3" s="43"/>
      <c r="G3" s="43"/>
      <c r="H3" s="43" t="s">
        <v>283</v>
      </c>
      <c r="I3" s="43"/>
      <c r="J3" s="43" t="s">
        <v>427</v>
      </c>
      <c r="K3" s="43"/>
    </row>
    <row r="4" ht="33.75" customHeight="1">
      <c r="A4" s="43" t="s">
        <v>428</v>
      </c>
      <c r="B4" s="43" t="s">
        <v>420</v>
      </c>
      <c r="C4" s="43" t="s">
        <v>429</v>
      </c>
      <c r="D4" s="43" t="s">
        <v>281</v>
      </c>
      <c r="E4" s="43"/>
      <c r="F4" s="43"/>
      <c r="G4" s="43"/>
      <c r="H4" s="43" t="s">
        <v>283</v>
      </c>
      <c r="I4" s="43" t="s">
        <v>430</v>
      </c>
      <c r="J4" s="43"/>
      <c r="K4" s="43" t="s">
        <v>431</v>
      </c>
    </row>
    <row r="5" ht="33.75" customHeight="1">
      <c r="A5" s="43" t="s">
        <v>432</v>
      </c>
      <c r="B5" s="43" t="s">
        <v>433</v>
      </c>
      <c r="C5" s="43" t="s">
        <v>434</v>
      </c>
      <c r="D5" s="43" t="s">
        <v>281</v>
      </c>
      <c r="E5" s="43"/>
      <c r="F5" s="43"/>
      <c r="G5" s="43"/>
      <c r="H5" s="43" t="s">
        <v>283</v>
      </c>
      <c r="I5" s="43"/>
      <c r="J5" s="43" t="s">
        <v>435</v>
      </c>
      <c r="K5" s="43"/>
    </row>
    <row r="6" ht="33.75" customHeight="1">
      <c r="A6" s="43" t="s">
        <v>436</v>
      </c>
      <c r="B6" s="43" t="s">
        <v>437</v>
      </c>
      <c r="C6" s="43" t="s">
        <v>438</v>
      </c>
      <c r="D6" s="43" t="s">
        <v>281</v>
      </c>
      <c r="E6" s="43"/>
      <c r="F6" s="43"/>
      <c r="G6" s="43"/>
      <c r="H6" s="43" t="s">
        <v>283</v>
      </c>
      <c r="I6" s="43" t="s">
        <v>439</v>
      </c>
      <c r="J6" s="43" t="s">
        <v>440</v>
      </c>
      <c r="K6" s="43" t="s">
        <v>441</v>
      </c>
    </row>
    <row r="7" ht="33.75" customHeight="1">
      <c r="A7" s="43" t="s">
        <v>442</v>
      </c>
      <c r="B7" s="43" t="s">
        <v>433</v>
      </c>
      <c r="C7" s="43" t="s">
        <v>443</v>
      </c>
      <c r="D7" s="43" t="s">
        <v>281</v>
      </c>
      <c r="E7" s="43"/>
      <c r="F7" s="43"/>
      <c r="G7" s="43"/>
      <c r="H7" s="43" t="s">
        <v>283</v>
      </c>
      <c r="I7" s="43" t="s">
        <v>444</v>
      </c>
      <c r="J7" s="43" t="s">
        <v>445</v>
      </c>
      <c r="K7" s="43" t="s">
        <v>446</v>
      </c>
    </row>
    <row r="8" ht="33.75" customHeight="1">
      <c r="A8" s="43" t="s">
        <v>447</v>
      </c>
      <c r="B8" s="43" t="s">
        <v>433</v>
      </c>
      <c r="C8" s="43" t="s">
        <v>448</v>
      </c>
      <c r="D8" s="43" t="s">
        <v>281</v>
      </c>
      <c r="E8" s="43"/>
      <c r="F8" s="43"/>
      <c r="G8" s="43"/>
      <c r="H8" s="43" t="s">
        <v>283</v>
      </c>
      <c r="I8" s="43" t="s">
        <v>449</v>
      </c>
      <c r="J8" s="43" t="s">
        <v>450</v>
      </c>
      <c r="K8" s="43"/>
    </row>
    <row r="9" ht="33.75" customHeight="1">
      <c r="A9" s="43" t="s">
        <v>227</v>
      </c>
      <c r="B9" s="43" t="s">
        <v>437</v>
      </c>
      <c r="C9" s="43" t="s">
        <v>451</v>
      </c>
      <c r="D9" s="43" t="s">
        <v>281</v>
      </c>
      <c r="E9" s="43"/>
      <c r="F9" s="43"/>
      <c r="G9" s="43"/>
      <c r="H9" s="43" t="s">
        <v>283</v>
      </c>
      <c r="I9" s="43" t="s">
        <v>452</v>
      </c>
      <c r="J9" s="43" t="s">
        <v>453</v>
      </c>
      <c r="K9" s="43" t="s">
        <v>454</v>
      </c>
    </row>
    <row r="10" ht="33.75" customHeight="1">
      <c r="A10" s="43" t="s">
        <v>455</v>
      </c>
      <c r="B10" s="43" t="s">
        <v>433</v>
      </c>
      <c r="C10" s="43" t="s">
        <v>456</v>
      </c>
      <c r="D10" s="43" t="s">
        <v>281</v>
      </c>
      <c r="E10" s="43"/>
      <c r="F10" s="43"/>
      <c r="G10" s="43"/>
      <c r="H10" s="43" t="s">
        <v>283</v>
      </c>
      <c r="I10" s="43"/>
      <c r="J10" s="43" t="s">
        <v>457</v>
      </c>
      <c r="K10" s="43"/>
    </row>
    <row r="11" ht="15.75" customHeight="1">
      <c r="A11" s="43" t="s">
        <v>458</v>
      </c>
      <c r="B11" s="43" t="s">
        <v>459</v>
      </c>
      <c r="C11" s="43" t="s">
        <v>460</v>
      </c>
      <c r="D11" s="43" t="s">
        <v>281</v>
      </c>
      <c r="E11" s="43"/>
      <c r="F11" s="43"/>
      <c r="G11" s="43"/>
      <c r="H11" s="43" t="s">
        <v>283</v>
      </c>
      <c r="I11" s="43"/>
      <c r="J11" s="43"/>
      <c r="K11" s="43"/>
    </row>
    <row r="12" ht="15.75" customHeight="1">
      <c r="A12" s="43" t="s">
        <v>461</v>
      </c>
      <c r="B12" s="43" t="s">
        <v>420</v>
      </c>
      <c r="C12" s="43" t="s">
        <v>420</v>
      </c>
      <c r="D12" s="43" t="s">
        <v>281</v>
      </c>
      <c r="E12" s="43"/>
      <c r="F12" s="43"/>
      <c r="G12" s="43"/>
      <c r="H12" s="43" t="s">
        <v>283</v>
      </c>
      <c r="I12" s="43" t="s">
        <v>462</v>
      </c>
      <c r="J12" s="43" t="s">
        <v>463</v>
      </c>
      <c r="K12" s="43"/>
    </row>
    <row r="13" ht="15.75" customHeight="1">
      <c r="A13" s="43" t="s">
        <v>243</v>
      </c>
      <c r="B13" s="43" t="s">
        <v>433</v>
      </c>
      <c r="C13" s="43" t="s">
        <v>426</v>
      </c>
      <c r="D13" s="43" t="s">
        <v>281</v>
      </c>
      <c r="E13" s="43"/>
      <c r="F13" s="43"/>
      <c r="G13" s="43"/>
      <c r="H13" s="43" t="s">
        <v>283</v>
      </c>
      <c r="I13" s="43" t="s">
        <v>464</v>
      </c>
      <c r="J13" s="43" t="s">
        <v>465</v>
      </c>
      <c r="K13" s="43"/>
    </row>
    <row r="14" ht="15.75" customHeight="1">
      <c r="A14" s="43" t="s">
        <v>466</v>
      </c>
      <c r="B14" s="43" t="s">
        <v>433</v>
      </c>
      <c r="C14" s="43" t="s">
        <v>467</v>
      </c>
      <c r="D14" s="43" t="s">
        <v>281</v>
      </c>
      <c r="E14" s="43"/>
      <c r="F14" s="43"/>
      <c r="G14" s="45" t="s">
        <v>468</v>
      </c>
      <c r="H14" s="43" t="s">
        <v>283</v>
      </c>
      <c r="I14" s="43" t="s">
        <v>469</v>
      </c>
      <c r="J14" s="43" t="s">
        <v>470</v>
      </c>
      <c r="K14" s="43" t="s">
        <v>471</v>
      </c>
    </row>
    <row r="15" ht="15.75" customHeight="1">
      <c r="A15" s="43" t="s">
        <v>472</v>
      </c>
      <c r="B15" s="43" t="s">
        <v>433</v>
      </c>
      <c r="C15" s="43" t="s">
        <v>473</v>
      </c>
      <c r="D15" s="43" t="s">
        <v>281</v>
      </c>
      <c r="E15" s="43"/>
      <c r="F15" s="43"/>
      <c r="G15" s="43"/>
      <c r="H15" s="43" t="s">
        <v>283</v>
      </c>
      <c r="I15" s="43"/>
      <c r="J15" s="43" t="s">
        <v>474</v>
      </c>
      <c r="K15" s="43"/>
    </row>
    <row r="16" ht="15.75" customHeight="1">
      <c r="A16" s="43" t="s">
        <v>475</v>
      </c>
      <c r="B16" s="43" t="s">
        <v>433</v>
      </c>
      <c r="C16" s="43" t="s">
        <v>476</v>
      </c>
      <c r="D16" s="43" t="s">
        <v>281</v>
      </c>
      <c r="E16" s="43"/>
      <c r="F16" s="43"/>
      <c r="G16" s="43"/>
      <c r="H16" s="43" t="s">
        <v>283</v>
      </c>
      <c r="I16" s="43"/>
      <c r="J16" s="43" t="s">
        <v>477</v>
      </c>
      <c r="K16" s="4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6"/>
  <dataValidations>
    <dataValidation type="list" allowBlank="1" showErrorMessage="1" sqref="D2:D16">
      <formula1>'Stage List'!$A$2:$A$9</formula1>
    </dataValidation>
  </dataValidations>
  <hyperlinks>
    <hyperlink r:id="rId1" location="gid=0" ref="G14"/>
  </hyperlinks>
  <printOptions gridLines="1" horizontalCentered="1"/>
  <pageMargins bottom="0.75" footer="0.0" header="0.0" left="0.7" right="0.7" top="0.75"/>
  <pageSetup cellComments="atEnd" orientation="landscape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6" width="12.63"/>
  </cols>
  <sheetData>
    <row r="1" ht="15.75" customHeight="1">
      <c r="A1" s="37"/>
      <c r="B1" s="37" t="s">
        <v>478</v>
      </c>
    </row>
    <row r="2" ht="15.75" customHeight="1">
      <c r="A2" s="37" t="s">
        <v>479</v>
      </c>
      <c r="B2" s="37" t="b">
        <v>1</v>
      </c>
    </row>
    <row r="3" ht="15.75" customHeight="1">
      <c r="A3" s="37" t="s">
        <v>480</v>
      </c>
      <c r="B3" s="37" t="s">
        <v>481</v>
      </c>
    </row>
    <row r="4" ht="15.75" customHeight="1">
      <c r="A4" s="37" t="s">
        <v>482</v>
      </c>
      <c r="B4" s="37" t="b">
        <v>1</v>
      </c>
    </row>
    <row r="5" ht="15.75" customHeight="1">
      <c r="A5" s="37" t="s">
        <v>483</v>
      </c>
      <c r="B5" s="37" t="b">
        <v>1</v>
      </c>
    </row>
    <row r="6" ht="15.75" customHeight="1">
      <c r="A6" s="37" t="s">
        <v>484</v>
      </c>
      <c r="B6" s="37" t="b">
        <v>1</v>
      </c>
    </row>
    <row r="7" ht="15.75" customHeight="1">
      <c r="A7" s="37" t="s">
        <v>485</v>
      </c>
      <c r="B7" s="37" t="b">
        <v>1</v>
      </c>
    </row>
    <row r="8" ht="15.75" customHeight="1">
      <c r="A8" s="37" t="s">
        <v>486</v>
      </c>
      <c r="B8" s="37" t="b">
        <v>1</v>
      </c>
    </row>
    <row r="9" ht="15.75" customHeight="1">
      <c r="A9" s="37" t="s">
        <v>487</v>
      </c>
      <c r="B9" s="37" t="s">
        <v>481</v>
      </c>
    </row>
    <row r="10" ht="15.75" customHeight="1">
      <c r="A10" s="37" t="s">
        <v>488</v>
      </c>
      <c r="B10" s="37" t="s">
        <v>481</v>
      </c>
    </row>
    <row r="11" ht="15.75" customHeight="1">
      <c r="A11" s="37" t="s">
        <v>489</v>
      </c>
      <c r="B11" s="37" t="b">
        <v>1</v>
      </c>
    </row>
    <row r="12" ht="15.75" customHeight="1">
      <c r="A12" s="37" t="s">
        <v>490</v>
      </c>
      <c r="B12" s="37" t="b">
        <v>1</v>
      </c>
    </row>
    <row r="13" ht="15.75" customHeight="1">
      <c r="A13" s="37" t="s">
        <v>491</v>
      </c>
      <c r="B13" s="37" t="b">
        <v>1</v>
      </c>
    </row>
    <row r="14" ht="15.75" customHeight="1">
      <c r="A14" s="37" t="s">
        <v>492</v>
      </c>
      <c r="B14" s="37" t="b">
        <v>1</v>
      </c>
    </row>
    <row r="15" ht="15.75" customHeight="1">
      <c r="A15" s="37" t="s">
        <v>493</v>
      </c>
      <c r="B15" s="37" t="b">
        <v>1</v>
      </c>
    </row>
    <row r="16" ht="15.75" customHeight="1">
      <c r="A16" s="37" t="s">
        <v>494</v>
      </c>
      <c r="B16" s="37" t="b">
        <v>0</v>
      </c>
    </row>
    <row r="17" ht="15.75" customHeight="1">
      <c r="A17" s="37" t="s">
        <v>495</v>
      </c>
      <c r="B17" s="37" t="b">
        <v>0</v>
      </c>
    </row>
    <row r="18" ht="15.75" customHeight="1">
      <c r="A18" s="37" t="s">
        <v>178</v>
      </c>
      <c r="B18" s="37" t="b">
        <v>1</v>
      </c>
    </row>
    <row r="19" ht="15.75" customHeight="1">
      <c r="A19" s="37" t="s">
        <v>377</v>
      </c>
      <c r="B19" s="37" t="b">
        <v>1</v>
      </c>
    </row>
    <row r="20" ht="15.75" customHeight="1">
      <c r="A20" s="37" t="s">
        <v>496</v>
      </c>
      <c r="B20" s="37" t="b">
        <v>1</v>
      </c>
    </row>
    <row r="21" ht="15.75" customHeight="1">
      <c r="A21" s="37" t="s">
        <v>497</v>
      </c>
      <c r="B21" s="37" t="b">
        <v>1</v>
      </c>
    </row>
    <row r="22" ht="15.75" customHeight="1">
      <c r="A22" s="37" t="s">
        <v>498</v>
      </c>
      <c r="B22" s="37" t="b">
        <v>1</v>
      </c>
    </row>
    <row r="23" ht="15.75" customHeight="1">
      <c r="A23" s="37" t="s">
        <v>499</v>
      </c>
      <c r="B23" s="37" t="b">
        <v>1</v>
      </c>
    </row>
    <row r="24" ht="15.75" customHeight="1">
      <c r="A24" s="37" t="s">
        <v>500</v>
      </c>
      <c r="B24" s="37" t="b">
        <v>1</v>
      </c>
    </row>
    <row r="25" ht="15.75" customHeight="1">
      <c r="A25" s="37" t="s">
        <v>501</v>
      </c>
      <c r="B25" s="37" t="b">
        <v>1</v>
      </c>
    </row>
    <row r="26" ht="15.75" customHeight="1">
      <c r="A26" s="37" t="s">
        <v>502</v>
      </c>
      <c r="B26" s="37" t="b">
        <v>1</v>
      </c>
    </row>
    <row r="27" ht="15.75" customHeight="1">
      <c r="A27" s="37" t="s">
        <v>503</v>
      </c>
      <c r="B27" s="37" t="b">
        <v>1</v>
      </c>
    </row>
    <row r="28" ht="15.75" customHeight="1">
      <c r="A28" s="37" t="s">
        <v>504</v>
      </c>
      <c r="B28" s="37" t="b">
        <v>1</v>
      </c>
    </row>
    <row r="29" ht="15.75" customHeight="1">
      <c r="A29" s="37" t="s">
        <v>505</v>
      </c>
      <c r="B29" s="37" t="b">
        <v>1</v>
      </c>
    </row>
    <row r="30" ht="15.75" customHeight="1">
      <c r="A30" s="37" t="s">
        <v>506</v>
      </c>
      <c r="B30" s="37" t="b">
        <v>1</v>
      </c>
    </row>
    <row r="31" ht="15.75" customHeight="1">
      <c r="A31" s="37" t="s">
        <v>507</v>
      </c>
      <c r="B31" s="37" t="b">
        <v>1</v>
      </c>
    </row>
    <row r="32" ht="15.75" customHeight="1">
      <c r="A32" s="37" t="s">
        <v>508</v>
      </c>
      <c r="B32" s="37" t="b">
        <v>1</v>
      </c>
    </row>
    <row r="33" ht="15.75" customHeight="1">
      <c r="A33" s="37" t="s">
        <v>509</v>
      </c>
      <c r="B33" s="37" t="b">
        <v>1</v>
      </c>
    </row>
    <row r="34" ht="15.75" customHeight="1">
      <c r="A34" s="37" t="s">
        <v>510</v>
      </c>
      <c r="B34" s="37" t="b">
        <v>1</v>
      </c>
    </row>
    <row r="35" ht="15.75" customHeight="1">
      <c r="A35" s="37" t="s">
        <v>511</v>
      </c>
      <c r="B35" s="37" t="b">
        <v>1</v>
      </c>
    </row>
    <row r="36" ht="15.75" customHeight="1">
      <c r="A36" s="37" t="s">
        <v>512</v>
      </c>
      <c r="B36" s="37" t="b">
        <v>1</v>
      </c>
    </row>
    <row r="37" ht="15.75" customHeight="1">
      <c r="A37" s="37" t="s">
        <v>513</v>
      </c>
      <c r="B37" s="37" t="b">
        <v>0</v>
      </c>
    </row>
    <row r="38" ht="15.75" customHeight="1">
      <c r="A38" s="37" t="s">
        <v>514</v>
      </c>
      <c r="B38" s="37" t="b">
        <v>1</v>
      </c>
    </row>
    <row r="39" ht="15.75" customHeight="1">
      <c r="A39" s="37" t="s">
        <v>515</v>
      </c>
      <c r="B39" s="37" t="s">
        <v>481</v>
      </c>
    </row>
    <row r="40" ht="15.75" customHeight="1">
      <c r="A40" s="37" t="s">
        <v>516</v>
      </c>
      <c r="B40" s="37" t="b">
        <v>1</v>
      </c>
    </row>
    <row r="41" ht="15.75" customHeight="1">
      <c r="A41" s="37" t="s">
        <v>517</v>
      </c>
      <c r="B41" s="37" t="b">
        <v>1</v>
      </c>
    </row>
    <row r="42" ht="15.75" customHeight="1">
      <c r="A42" s="37" t="s">
        <v>518</v>
      </c>
      <c r="B42" s="37" t="b">
        <v>1</v>
      </c>
    </row>
    <row r="43" ht="15.75" customHeight="1">
      <c r="A43" s="37" t="s">
        <v>519</v>
      </c>
      <c r="B43" s="37" t="b">
        <v>0</v>
      </c>
    </row>
    <row r="44" ht="15.75" customHeight="1">
      <c r="A44" s="37" t="s">
        <v>520</v>
      </c>
      <c r="B44" s="37" t="b">
        <v>1</v>
      </c>
    </row>
    <row r="45" ht="15.75" customHeight="1">
      <c r="A45" s="37" t="s">
        <v>521</v>
      </c>
      <c r="B45" s="37" t="b">
        <v>1</v>
      </c>
    </row>
    <row r="46" ht="15.75" customHeight="1">
      <c r="A46" s="37" t="s">
        <v>522</v>
      </c>
      <c r="B46" s="37" t="b">
        <v>0</v>
      </c>
    </row>
    <row r="47" ht="15.75" customHeight="1">
      <c r="A47" s="37" t="s">
        <v>523</v>
      </c>
      <c r="B47" s="37" t="b">
        <v>0</v>
      </c>
    </row>
    <row r="48" ht="15.75" customHeight="1">
      <c r="A48" s="37" t="s">
        <v>524</v>
      </c>
      <c r="B48" s="37" t="b">
        <v>0</v>
      </c>
    </row>
    <row r="49" ht="15.75" customHeight="1">
      <c r="A49" s="37" t="s">
        <v>525</v>
      </c>
      <c r="B49" s="37" t="b">
        <v>0</v>
      </c>
    </row>
    <row r="50" ht="15.75" customHeight="1">
      <c r="A50" s="37" t="s">
        <v>526</v>
      </c>
      <c r="B50" s="37" t="b">
        <v>0</v>
      </c>
    </row>
    <row r="51" ht="15.75" customHeight="1">
      <c r="A51" s="37" t="s">
        <v>527</v>
      </c>
      <c r="B51" s="37" t="b"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23.88"/>
    <col customWidth="1" min="4" max="4" width="37.25"/>
    <col customWidth="1" min="5" max="11" width="23.88"/>
  </cols>
  <sheetData>
    <row r="1" ht="15.75" customHeight="1">
      <c r="A1" s="42" t="s">
        <v>77</v>
      </c>
      <c r="B1" s="43" t="s">
        <v>269</v>
      </c>
      <c r="C1" s="43" t="s">
        <v>270</v>
      </c>
      <c r="D1" s="43" t="s">
        <v>271</v>
      </c>
      <c r="E1" s="43" t="s">
        <v>272</v>
      </c>
      <c r="F1" s="43" t="s">
        <v>273</v>
      </c>
      <c r="G1" s="43" t="s">
        <v>274</v>
      </c>
      <c r="H1" s="43" t="s">
        <v>275</v>
      </c>
      <c r="I1" s="43" t="s">
        <v>276</v>
      </c>
      <c r="J1" s="43" t="s">
        <v>277</v>
      </c>
      <c r="K1" s="43" t="s">
        <v>278</v>
      </c>
    </row>
    <row r="2" ht="15.75" customHeight="1">
      <c r="A2" s="47" t="s">
        <v>528</v>
      </c>
      <c r="B2" s="47"/>
      <c r="C2" s="47" t="s">
        <v>288</v>
      </c>
      <c r="D2" s="47" t="s">
        <v>529</v>
      </c>
      <c r="E2" s="47"/>
      <c r="F2" s="47"/>
      <c r="G2" s="47"/>
      <c r="H2" s="47" t="s">
        <v>530</v>
      </c>
      <c r="I2" s="47" t="s">
        <v>531</v>
      </c>
      <c r="J2" s="47" t="s">
        <v>532</v>
      </c>
      <c r="K2" s="47" t="s">
        <v>533</v>
      </c>
    </row>
    <row r="3" ht="15.75" customHeight="1">
      <c r="A3" s="47" t="s">
        <v>534</v>
      </c>
      <c r="B3" s="47"/>
      <c r="C3" s="47" t="s">
        <v>535</v>
      </c>
      <c r="D3" s="47" t="s">
        <v>529</v>
      </c>
      <c r="E3" s="47"/>
      <c r="F3" s="47"/>
      <c r="G3" s="47"/>
      <c r="H3" s="47" t="s">
        <v>283</v>
      </c>
      <c r="I3" s="47" t="s">
        <v>536</v>
      </c>
      <c r="J3" s="47" t="s">
        <v>537</v>
      </c>
      <c r="K3" s="47" t="s">
        <v>538</v>
      </c>
    </row>
    <row r="4" ht="15.75" customHeight="1">
      <c r="A4" s="47" t="s">
        <v>539</v>
      </c>
      <c r="B4" s="47"/>
      <c r="C4" s="47" t="s">
        <v>540</v>
      </c>
      <c r="D4" s="47" t="s">
        <v>529</v>
      </c>
      <c r="E4" s="47"/>
      <c r="F4" s="47"/>
      <c r="G4" s="47"/>
      <c r="H4" s="47" t="s">
        <v>283</v>
      </c>
      <c r="I4" s="47" t="s">
        <v>541</v>
      </c>
      <c r="J4" s="47" t="s">
        <v>542</v>
      </c>
      <c r="K4" s="47" t="s">
        <v>543</v>
      </c>
    </row>
    <row r="5" ht="15.75" customHeight="1">
      <c r="A5" s="47" t="s">
        <v>544</v>
      </c>
      <c r="B5" s="47"/>
      <c r="C5" s="47" t="s">
        <v>535</v>
      </c>
      <c r="D5" s="47" t="s">
        <v>529</v>
      </c>
      <c r="E5" s="47"/>
      <c r="F5" s="47"/>
      <c r="G5" s="47"/>
      <c r="H5" s="47" t="s">
        <v>283</v>
      </c>
      <c r="I5" s="47"/>
      <c r="J5" s="47"/>
      <c r="K5" s="47"/>
    </row>
    <row r="6" ht="15.75" customHeight="1">
      <c r="A6" s="47" t="s">
        <v>545</v>
      </c>
      <c r="B6" s="47"/>
      <c r="C6" s="47" t="s">
        <v>137</v>
      </c>
      <c r="D6" s="47" t="s">
        <v>529</v>
      </c>
      <c r="E6" s="47"/>
      <c r="F6" s="47"/>
      <c r="G6" s="47"/>
      <c r="H6" s="47" t="s">
        <v>283</v>
      </c>
      <c r="I6" s="47" t="s">
        <v>546</v>
      </c>
      <c r="J6" s="47" t="s">
        <v>547</v>
      </c>
      <c r="K6" s="47" t="s">
        <v>548</v>
      </c>
    </row>
    <row r="7" ht="15.75" customHeight="1">
      <c r="A7" s="47" t="s">
        <v>549</v>
      </c>
      <c r="B7" s="47"/>
      <c r="C7" s="47" t="s">
        <v>333</v>
      </c>
      <c r="D7" s="47" t="s">
        <v>529</v>
      </c>
      <c r="E7" s="47"/>
      <c r="F7" s="47"/>
      <c r="G7" s="47"/>
      <c r="H7" s="47" t="s">
        <v>550</v>
      </c>
      <c r="I7" s="47" t="s">
        <v>551</v>
      </c>
      <c r="J7" s="47"/>
      <c r="K7" s="47" t="s">
        <v>552</v>
      </c>
    </row>
    <row r="8" ht="15.75" customHeight="1">
      <c r="A8" s="47" t="s">
        <v>553</v>
      </c>
      <c r="B8" s="47"/>
      <c r="C8" s="47" t="s">
        <v>310</v>
      </c>
      <c r="D8" s="47" t="s">
        <v>529</v>
      </c>
      <c r="E8" s="47"/>
      <c r="F8" s="47"/>
      <c r="G8" s="47"/>
      <c r="H8" s="47" t="s">
        <v>283</v>
      </c>
      <c r="I8" s="47" t="s">
        <v>554</v>
      </c>
      <c r="J8" s="47" t="s">
        <v>555</v>
      </c>
      <c r="K8" s="47" t="s">
        <v>556</v>
      </c>
    </row>
    <row r="9" ht="15.75" customHeight="1">
      <c r="A9" s="47" t="s">
        <v>557</v>
      </c>
      <c r="B9" s="47"/>
      <c r="C9" s="47" t="s">
        <v>558</v>
      </c>
      <c r="D9" s="47" t="s">
        <v>529</v>
      </c>
      <c r="E9" s="47"/>
      <c r="F9" s="47"/>
      <c r="G9" s="47"/>
      <c r="H9" s="47" t="s">
        <v>283</v>
      </c>
      <c r="I9" s="47" t="s">
        <v>559</v>
      </c>
      <c r="J9" s="47"/>
      <c r="K9" s="47" t="s">
        <v>560</v>
      </c>
    </row>
    <row r="10" ht="15.75" customHeight="1">
      <c r="A10" s="47" t="s">
        <v>561</v>
      </c>
      <c r="B10" s="47"/>
      <c r="C10" s="47" t="s">
        <v>535</v>
      </c>
      <c r="D10" s="47" t="s">
        <v>529</v>
      </c>
      <c r="E10" s="47"/>
      <c r="F10" s="47"/>
      <c r="G10" s="47"/>
      <c r="H10" s="47" t="s">
        <v>283</v>
      </c>
      <c r="I10" s="47"/>
      <c r="J10" s="47"/>
      <c r="K10" s="47"/>
    </row>
    <row r="11" ht="15.75" customHeight="1">
      <c r="A11" s="47" t="s">
        <v>562</v>
      </c>
      <c r="B11" s="47"/>
      <c r="C11" s="47" t="s">
        <v>563</v>
      </c>
      <c r="D11" s="47" t="s">
        <v>529</v>
      </c>
      <c r="E11" s="47"/>
      <c r="F11" s="47"/>
      <c r="G11" s="47"/>
      <c r="H11" s="47" t="s">
        <v>283</v>
      </c>
      <c r="I11" s="47" t="s">
        <v>564</v>
      </c>
      <c r="J11" s="47" t="s">
        <v>565</v>
      </c>
      <c r="K11" s="47" t="s">
        <v>566</v>
      </c>
    </row>
    <row r="12" ht="15.75" customHeight="1">
      <c r="A12" s="47" t="s">
        <v>494</v>
      </c>
      <c r="B12" s="47"/>
      <c r="C12" s="47" t="s">
        <v>567</v>
      </c>
      <c r="D12" s="47" t="s">
        <v>529</v>
      </c>
      <c r="E12" s="47"/>
      <c r="F12" s="47"/>
      <c r="G12" s="47"/>
      <c r="H12" s="47" t="s">
        <v>283</v>
      </c>
      <c r="I12" s="47" t="s">
        <v>568</v>
      </c>
      <c r="J12" s="47"/>
      <c r="K12" s="47" t="s">
        <v>569</v>
      </c>
    </row>
    <row r="13" ht="15.75" customHeight="1">
      <c r="A13" s="47" t="s">
        <v>570</v>
      </c>
      <c r="B13" s="47"/>
      <c r="C13" s="47" t="s">
        <v>535</v>
      </c>
      <c r="D13" s="47" t="s">
        <v>529</v>
      </c>
      <c r="E13" s="47"/>
      <c r="F13" s="47"/>
      <c r="G13" s="47"/>
      <c r="H13" s="47" t="s">
        <v>550</v>
      </c>
      <c r="I13" s="47" t="s">
        <v>571</v>
      </c>
      <c r="J13" s="47"/>
      <c r="K13" s="47" t="s">
        <v>572</v>
      </c>
    </row>
    <row r="14" ht="15.75" customHeight="1">
      <c r="A14" s="47" t="s">
        <v>573</v>
      </c>
      <c r="B14" s="47"/>
      <c r="C14" s="47" t="s">
        <v>333</v>
      </c>
      <c r="D14" s="47" t="s">
        <v>529</v>
      </c>
      <c r="E14" s="47"/>
      <c r="F14" s="47"/>
      <c r="G14" s="47"/>
      <c r="H14" s="47" t="s">
        <v>283</v>
      </c>
      <c r="I14" s="47"/>
      <c r="J14" s="47"/>
      <c r="K14" s="47"/>
    </row>
    <row r="15" ht="15.75" customHeight="1">
      <c r="A15" s="47" t="s">
        <v>574</v>
      </c>
      <c r="B15" s="47"/>
      <c r="C15" s="47" t="s">
        <v>294</v>
      </c>
      <c r="D15" s="47" t="s">
        <v>529</v>
      </c>
      <c r="E15" s="47"/>
      <c r="F15" s="47"/>
      <c r="G15" s="47"/>
      <c r="H15" s="47" t="s">
        <v>283</v>
      </c>
      <c r="I15" s="47" t="s">
        <v>575</v>
      </c>
      <c r="J15" s="47" t="s">
        <v>576</v>
      </c>
      <c r="K15" s="47" t="s">
        <v>577</v>
      </c>
    </row>
    <row r="16" ht="15.75" customHeight="1">
      <c r="A16" s="47" t="s">
        <v>578</v>
      </c>
      <c r="B16" s="47"/>
      <c r="C16" s="47" t="s">
        <v>579</v>
      </c>
      <c r="D16" s="47" t="s">
        <v>529</v>
      </c>
      <c r="E16" s="47"/>
      <c r="F16" s="47"/>
      <c r="G16" s="51" t="s">
        <v>580</v>
      </c>
      <c r="H16" s="47" t="s">
        <v>283</v>
      </c>
      <c r="I16" s="47" t="s">
        <v>581</v>
      </c>
      <c r="J16" s="47" t="s">
        <v>582</v>
      </c>
      <c r="K16" s="47" t="s">
        <v>583</v>
      </c>
    </row>
    <row r="17" ht="15.75" customHeight="1">
      <c r="A17" s="47" t="s">
        <v>584</v>
      </c>
      <c r="B17" s="47"/>
      <c r="C17" s="47" t="s">
        <v>585</v>
      </c>
      <c r="D17" s="47" t="s">
        <v>529</v>
      </c>
      <c r="E17" s="47"/>
      <c r="F17" s="47"/>
      <c r="G17" s="51" t="s">
        <v>468</v>
      </c>
      <c r="H17" s="47" t="s">
        <v>283</v>
      </c>
      <c r="I17" s="47" t="s">
        <v>586</v>
      </c>
      <c r="J17" s="47" t="s">
        <v>587</v>
      </c>
      <c r="K17" s="47" t="s">
        <v>588</v>
      </c>
    </row>
    <row r="18" ht="15.75" customHeight="1">
      <c r="A18" s="47" t="s">
        <v>589</v>
      </c>
      <c r="B18" s="47"/>
      <c r="C18" s="47" t="s">
        <v>590</v>
      </c>
      <c r="D18" s="47" t="s">
        <v>529</v>
      </c>
      <c r="E18" s="47"/>
      <c r="F18" s="47"/>
      <c r="G18" s="47"/>
      <c r="H18" s="47" t="s">
        <v>530</v>
      </c>
      <c r="I18" s="47"/>
      <c r="J18" s="47"/>
      <c r="K18" s="47"/>
    </row>
    <row r="19" ht="15.75" customHeight="1">
      <c r="A19" s="47" t="s">
        <v>591</v>
      </c>
      <c r="B19" s="47"/>
      <c r="C19" s="47" t="s">
        <v>404</v>
      </c>
      <c r="D19" s="47" t="s">
        <v>529</v>
      </c>
      <c r="E19" s="47"/>
      <c r="F19" s="47"/>
      <c r="G19" s="47"/>
      <c r="H19" s="47" t="s">
        <v>592</v>
      </c>
      <c r="I19" s="47" t="s">
        <v>593</v>
      </c>
      <c r="J19" s="47"/>
      <c r="K19" s="47" t="s">
        <v>594</v>
      </c>
    </row>
    <row r="20" ht="15.75" customHeight="1">
      <c r="A20" s="47" t="s">
        <v>595</v>
      </c>
      <c r="B20" s="47"/>
      <c r="C20" s="47" t="s">
        <v>404</v>
      </c>
      <c r="D20" s="47" t="s">
        <v>529</v>
      </c>
      <c r="E20" s="47"/>
      <c r="F20" s="47"/>
      <c r="G20" s="47"/>
      <c r="H20" s="47" t="s">
        <v>592</v>
      </c>
      <c r="I20" s="47" t="s">
        <v>596</v>
      </c>
      <c r="J20" s="47"/>
      <c r="K20" s="47" t="s">
        <v>597</v>
      </c>
    </row>
    <row r="21" ht="15.75" customHeight="1">
      <c r="A21" s="47" t="s">
        <v>598</v>
      </c>
      <c r="B21" s="47"/>
      <c r="C21" s="47" t="s">
        <v>294</v>
      </c>
      <c r="D21" s="47" t="s">
        <v>529</v>
      </c>
      <c r="E21" s="47"/>
      <c r="F21" s="47"/>
      <c r="G21" s="47"/>
      <c r="H21" s="47" t="s">
        <v>283</v>
      </c>
      <c r="I21" s="47" t="s">
        <v>297</v>
      </c>
      <c r="J21" s="47" t="s">
        <v>298</v>
      </c>
      <c r="K21" s="47" t="s">
        <v>299</v>
      </c>
    </row>
    <row r="22" ht="15.75" customHeight="1">
      <c r="A22" s="47" t="s">
        <v>599</v>
      </c>
      <c r="B22" s="47"/>
      <c r="C22" s="47" t="s">
        <v>600</v>
      </c>
      <c r="D22" s="47" t="s">
        <v>529</v>
      </c>
      <c r="E22" s="47"/>
      <c r="F22" s="47"/>
      <c r="G22" s="47"/>
      <c r="H22" s="47" t="s">
        <v>530</v>
      </c>
      <c r="I22" s="47"/>
      <c r="J22" s="47"/>
      <c r="K22" s="47"/>
    </row>
    <row r="23" ht="15.75" customHeight="1">
      <c r="A23" s="47" t="s">
        <v>601</v>
      </c>
      <c r="B23" s="47"/>
      <c r="C23" s="47" t="s">
        <v>602</v>
      </c>
      <c r="D23" s="47" t="s">
        <v>529</v>
      </c>
      <c r="E23" s="47"/>
      <c r="F23" s="47"/>
      <c r="G23" s="47"/>
      <c r="H23" s="47" t="s">
        <v>550</v>
      </c>
      <c r="I23" s="47" t="s">
        <v>603</v>
      </c>
      <c r="J23" s="47"/>
      <c r="K23" s="47" t="s">
        <v>604</v>
      </c>
    </row>
    <row r="24" ht="15.75" customHeight="1">
      <c r="A24" s="47" t="s">
        <v>605</v>
      </c>
      <c r="B24" s="47"/>
      <c r="C24" s="47" t="s">
        <v>606</v>
      </c>
      <c r="D24" s="47" t="s">
        <v>529</v>
      </c>
      <c r="E24" s="47"/>
      <c r="F24" s="47"/>
      <c r="G24" s="47"/>
      <c r="H24" s="47" t="s">
        <v>550</v>
      </c>
      <c r="I24" s="47" t="s">
        <v>607</v>
      </c>
      <c r="J24" s="47"/>
      <c r="K24" s="47" t="s">
        <v>608</v>
      </c>
    </row>
    <row r="25" ht="15.75" customHeight="1">
      <c r="A25" s="47" t="s">
        <v>609</v>
      </c>
      <c r="B25" s="47"/>
      <c r="C25" s="47" t="s">
        <v>333</v>
      </c>
      <c r="D25" s="47" t="s">
        <v>529</v>
      </c>
      <c r="E25" s="47"/>
      <c r="F25" s="47"/>
      <c r="G25" s="47"/>
      <c r="H25" s="47" t="s">
        <v>283</v>
      </c>
      <c r="I25" s="47" t="s">
        <v>610</v>
      </c>
      <c r="J25" s="47"/>
      <c r="K25" s="47" t="s">
        <v>611</v>
      </c>
    </row>
    <row r="26" ht="15.75" customHeight="1">
      <c r="A26" s="47" t="s">
        <v>612</v>
      </c>
      <c r="B26" s="47"/>
      <c r="C26" s="47" t="s">
        <v>404</v>
      </c>
      <c r="D26" s="47" t="s">
        <v>529</v>
      </c>
      <c r="E26" s="47"/>
      <c r="F26" s="47"/>
      <c r="G26" s="47"/>
      <c r="H26" s="47" t="s">
        <v>592</v>
      </c>
      <c r="I26" s="47" t="s">
        <v>613</v>
      </c>
      <c r="J26" s="47"/>
      <c r="K26" s="47" t="s">
        <v>614</v>
      </c>
    </row>
    <row r="27" ht="15.75" customHeight="1">
      <c r="A27" s="47" t="s">
        <v>239</v>
      </c>
      <c r="B27" s="47"/>
      <c r="C27" s="47" t="s">
        <v>615</v>
      </c>
      <c r="D27" s="47" t="s">
        <v>529</v>
      </c>
      <c r="E27" s="47"/>
      <c r="F27" s="47"/>
      <c r="G27" s="47"/>
      <c r="H27" s="47" t="s">
        <v>530</v>
      </c>
      <c r="I27" s="47" t="s">
        <v>616</v>
      </c>
      <c r="J27" s="47" t="s">
        <v>617</v>
      </c>
      <c r="K27" s="47" t="s">
        <v>618</v>
      </c>
    </row>
    <row r="28" ht="15.75" customHeight="1">
      <c r="A28" s="47" t="s">
        <v>619</v>
      </c>
      <c r="B28" s="47"/>
      <c r="C28" s="47" t="s">
        <v>394</v>
      </c>
      <c r="D28" s="47" t="s">
        <v>529</v>
      </c>
      <c r="E28" s="47" t="s">
        <v>620</v>
      </c>
      <c r="F28" s="47"/>
      <c r="G28" s="47"/>
      <c r="H28" s="47" t="s">
        <v>530</v>
      </c>
      <c r="I28" s="47" t="s">
        <v>621</v>
      </c>
      <c r="J28" s="47" t="s">
        <v>622</v>
      </c>
      <c r="K28" s="47" t="s">
        <v>623</v>
      </c>
    </row>
    <row r="29" ht="15.75" customHeight="1">
      <c r="A29" s="47" t="s">
        <v>624</v>
      </c>
      <c r="B29" s="47"/>
      <c r="C29" s="47" t="s">
        <v>606</v>
      </c>
      <c r="D29" s="47" t="s">
        <v>529</v>
      </c>
      <c r="E29" s="47"/>
      <c r="F29" s="47"/>
      <c r="G29" s="47"/>
      <c r="H29" s="47" t="s">
        <v>283</v>
      </c>
      <c r="I29" s="47" t="s">
        <v>625</v>
      </c>
      <c r="J29" s="52" t="s">
        <v>626</v>
      </c>
      <c r="K29" s="47" t="s">
        <v>627</v>
      </c>
    </row>
    <row r="30" ht="15.75" customHeight="1">
      <c r="A30" s="47" t="s">
        <v>628</v>
      </c>
      <c r="B30" s="47"/>
      <c r="C30" s="47" t="s">
        <v>629</v>
      </c>
      <c r="D30" s="47" t="s">
        <v>529</v>
      </c>
      <c r="E30" s="47"/>
      <c r="F30" s="47"/>
      <c r="G30" s="51" t="s">
        <v>468</v>
      </c>
      <c r="H30" s="47" t="s">
        <v>283</v>
      </c>
      <c r="I30" s="47" t="s">
        <v>630</v>
      </c>
      <c r="J30" s="47" t="s">
        <v>631</v>
      </c>
      <c r="K30" s="47" t="s">
        <v>632</v>
      </c>
    </row>
    <row r="31" ht="15.75" customHeight="1">
      <c r="A31" s="47" t="s">
        <v>633</v>
      </c>
      <c r="B31" s="47"/>
      <c r="C31" s="47" t="s">
        <v>333</v>
      </c>
      <c r="D31" s="47" t="s">
        <v>529</v>
      </c>
      <c r="E31" s="47"/>
      <c r="F31" s="47"/>
      <c r="G31" s="47"/>
      <c r="H31" s="47" t="s">
        <v>283</v>
      </c>
      <c r="I31" s="47" t="s">
        <v>634</v>
      </c>
      <c r="J31" s="47"/>
      <c r="K31" s="47" t="s">
        <v>635</v>
      </c>
    </row>
    <row r="32" ht="15.75" customHeight="1">
      <c r="A32" s="47" t="s">
        <v>636</v>
      </c>
      <c r="B32" s="47"/>
      <c r="C32" s="47" t="s">
        <v>365</v>
      </c>
      <c r="D32" s="47" t="s">
        <v>529</v>
      </c>
      <c r="E32" s="47"/>
      <c r="F32" s="47"/>
      <c r="G32" s="47"/>
      <c r="H32" s="47" t="s">
        <v>530</v>
      </c>
      <c r="I32" s="47" t="s">
        <v>637</v>
      </c>
      <c r="J32" s="47" t="s">
        <v>638</v>
      </c>
      <c r="K32" s="53" t="s">
        <v>639</v>
      </c>
    </row>
    <row r="33" ht="15.75" customHeight="1">
      <c r="A33" s="47" t="s">
        <v>640</v>
      </c>
      <c r="B33" s="47"/>
      <c r="C33" s="47" t="s">
        <v>288</v>
      </c>
      <c r="D33" s="47" t="s">
        <v>529</v>
      </c>
      <c r="E33" s="47"/>
      <c r="F33" s="47"/>
      <c r="G33" s="47"/>
      <c r="H33" s="47" t="s">
        <v>530</v>
      </c>
      <c r="I33" s="47" t="s">
        <v>641</v>
      </c>
      <c r="J33" s="47" t="s">
        <v>642</v>
      </c>
      <c r="K33" s="47" t="s">
        <v>643</v>
      </c>
    </row>
    <row r="34" ht="15.75" customHeight="1">
      <c r="A34" s="47" t="s">
        <v>644</v>
      </c>
      <c r="B34" s="47"/>
      <c r="C34" s="47" t="s">
        <v>645</v>
      </c>
      <c r="D34" s="47" t="s">
        <v>529</v>
      </c>
      <c r="E34" s="47"/>
      <c r="F34" s="47"/>
      <c r="G34" s="47"/>
      <c r="H34" s="47" t="s">
        <v>283</v>
      </c>
      <c r="I34" s="47" t="s">
        <v>646</v>
      </c>
      <c r="J34" s="47"/>
      <c r="K34" s="47" t="s">
        <v>647</v>
      </c>
    </row>
    <row r="35" ht="15.75" customHeight="1">
      <c r="A35" s="47" t="s">
        <v>648</v>
      </c>
      <c r="B35" s="47"/>
      <c r="C35" s="47" t="s">
        <v>649</v>
      </c>
      <c r="D35" s="47" t="s">
        <v>529</v>
      </c>
      <c r="E35" s="47"/>
      <c r="F35" s="47"/>
      <c r="G35" s="47"/>
      <c r="H35" s="47" t="s">
        <v>530</v>
      </c>
      <c r="I35" s="47" t="s">
        <v>650</v>
      </c>
      <c r="J35" s="47" t="s">
        <v>651</v>
      </c>
      <c r="K35" s="47"/>
    </row>
    <row r="36" ht="15.75" customHeight="1">
      <c r="A36" s="47" t="s">
        <v>652</v>
      </c>
      <c r="B36" s="47"/>
      <c r="C36" s="47" t="s">
        <v>653</v>
      </c>
      <c r="D36" s="47" t="s">
        <v>529</v>
      </c>
      <c r="E36" s="47"/>
      <c r="F36" s="47"/>
      <c r="G36" s="51" t="s">
        <v>468</v>
      </c>
      <c r="H36" s="47" t="s">
        <v>283</v>
      </c>
      <c r="I36" s="47" t="s">
        <v>654</v>
      </c>
      <c r="J36" s="47" t="s">
        <v>655</v>
      </c>
      <c r="K36" s="47" t="s">
        <v>656</v>
      </c>
    </row>
    <row r="37" ht="15.75" customHeight="1">
      <c r="A37" s="47" t="s">
        <v>657</v>
      </c>
      <c r="B37" s="47"/>
      <c r="C37" s="47" t="s">
        <v>658</v>
      </c>
      <c r="D37" s="47" t="s">
        <v>529</v>
      </c>
      <c r="E37" s="47"/>
      <c r="F37" s="47"/>
      <c r="G37" s="51" t="s">
        <v>468</v>
      </c>
      <c r="H37" s="47" t="s">
        <v>283</v>
      </c>
      <c r="I37" s="47" t="s">
        <v>659</v>
      </c>
      <c r="J37" s="47" t="s">
        <v>660</v>
      </c>
      <c r="K37" s="47" t="s">
        <v>661</v>
      </c>
    </row>
    <row r="38" ht="15.75" customHeight="1">
      <c r="A38" s="47" t="s">
        <v>657</v>
      </c>
      <c r="B38" s="47"/>
      <c r="C38" s="47" t="s">
        <v>662</v>
      </c>
      <c r="D38" s="47" t="s">
        <v>529</v>
      </c>
      <c r="E38" s="47"/>
      <c r="F38" s="47"/>
      <c r="G38" s="47"/>
      <c r="H38" s="47" t="s">
        <v>283</v>
      </c>
      <c r="I38" s="47" t="s">
        <v>663</v>
      </c>
      <c r="J38" s="47" t="s">
        <v>664</v>
      </c>
      <c r="K38" s="47" t="s">
        <v>665</v>
      </c>
    </row>
    <row r="39" ht="15.75" customHeight="1">
      <c r="A39" s="47" t="s">
        <v>666</v>
      </c>
      <c r="B39" s="47"/>
      <c r="C39" s="47"/>
      <c r="D39" s="47" t="s">
        <v>529</v>
      </c>
      <c r="E39" s="47"/>
      <c r="F39" s="47"/>
      <c r="G39" s="47"/>
      <c r="H39" s="47"/>
      <c r="I39" s="47"/>
      <c r="J39" s="47"/>
      <c r="K39" s="47"/>
    </row>
    <row r="40" ht="15.75" customHeight="1">
      <c r="A40" s="47" t="s">
        <v>667</v>
      </c>
      <c r="B40" s="47"/>
      <c r="C40" s="47"/>
      <c r="D40" s="47" t="s">
        <v>529</v>
      </c>
      <c r="E40" s="47"/>
      <c r="F40" s="47"/>
      <c r="G40" s="47"/>
      <c r="H40" s="47"/>
      <c r="I40" s="47" t="s">
        <v>668</v>
      </c>
      <c r="J40" s="47"/>
      <c r="K40" s="47" t="s">
        <v>669</v>
      </c>
    </row>
    <row r="41" ht="15.75" customHeight="1">
      <c r="A41" s="47" t="s">
        <v>670</v>
      </c>
      <c r="B41" s="47"/>
      <c r="C41" s="47" t="s">
        <v>288</v>
      </c>
      <c r="D41" s="47" t="s">
        <v>529</v>
      </c>
      <c r="E41" s="47" t="s">
        <v>671</v>
      </c>
      <c r="F41" s="47"/>
      <c r="G41" s="47"/>
      <c r="H41" s="47" t="s">
        <v>530</v>
      </c>
      <c r="I41" s="47" t="s">
        <v>672</v>
      </c>
      <c r="J41" s="47" t="s">
        <v>673</v>
      </c>
      <c r="K41" s="47" t="s">
        <v>674</v>
      </c>
    </row>
    <row r="42" ht="15.75" customHeight="1">
      <c r="A42" s="47" t="s">
        <v>675</v>
      </c>
      <c r="B42" s="47"/>
      <c r="C42" s="47" t="s">
        <v>404</v>
      </c>
      <c r="D42" s="47" t="s">
        <v>529</v>
      </c>
      <c r="E42" s="47"/>
      <c r="F42" s="47"/>
      <c r="G42" s="47"/>
      <c r="H42" s="47" t="s">
        <v>592</v>
      </c>
      <c r="I42" s="47" t="s">
        <v>676</v>
      </c>
      <c r="J42" s="47"/>
      <c r="K42" s="47" t="s">
        <v>677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42">
      <formula1>'Stage List'!$A$2:$A$9</formula1>
    </dataValidation>
  </dataValidations>
  <hyperlinks>
    <hyperlink r:id="rId1" location="heading=h.wlmmkqhjsy9e" ref="G16"/>
    <hyperlink r:id="rId2" ref="G17"/>
    <hyperlink r:id="rId3" location="gid=0" ref="G30"/>
    <hyperlink r:id="rId4" location="gid=0" ref="G36"/>
    <hyperlink r:id="rId5" location="gid=0" ref="G37"/>
  </hyperlink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63"/>
    <col customWidth="1" min="2" max="6" width="12.63"/>
  </cols>
  <sheetData>
    <row r="1" ht="15.75" customHeight="1">
      <c r="A1" s="47" t="s">
        <v>271</v>
      </c>
    </row>
    <row r="2" ht="15.75" customHeight="1">
      <c r="A2" s="47" t="s">
        <v>678</v>
      </c>
    </row>
    <row r="3" ht="15.75" customHeight="1">
      <c r="A3" s="47" t="s">
        <v>679</v>
      </c>
    </row>
    <row r="4" ht="15.75" customHeight="1">
      <c r="A4" s="39" t="s">
        <v>680</v>
      </c>
    </row>
    <row r="5" ht="15.75" customHeight="1">
      <c r="A5" s="39" t="s">
        <v>681</v>
      </c>
    </row>
    <row r="6" ht="15.75" customHeight="1">
      <c r="A6" s="39" t="s">
        <v>682</v>
      </c>
    </row>
    <row r="7" ht="15.75" customHeight="1">
      <c r="A7" s="39" t="s">
        <v>683</v>
      </c>
    </row>
    <row r="8" ht="15.75" customHeight="1">
      <c r="A8" s="47" t="s">
        <v>281</v>
      </c>
    </row>
    <row r="9" ht="15.75" customHeight="1">
      <c r="A9" s="47" t="s">
        <v>529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9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8" width="6.38"/>
    <col customWidth="1" min="10" max="10" width="22.13"/>
    <col customWidth="1" min="11" max="11" width="17.25"/>
    <col customWidth="1" min="12" max="12" width="28.5"/>
  </cols>
  <sheetData>
    <row r="1" ht="15.75" customHeight="1">
      <c r="A1" s="54"/>
      <c r="B1" s="55">
        <v>2023.0</v>
      </c>
      <c r="E1" s="55">
        <v>2024.0</v>
      </c>
      <c r="J1" s="56" t="s">
        <v>77</v>
      </c>
      <c r="K1" s="56" t="s">
        <v>684</v>
      </c>
      <c r="L1" s="56" t="s">
        <v>685</v>
      </c>
    </row>
    <row r="2" ht="15.75" customHeight="1">
      <c r="A2" s="57" t="s">
        <v>77</v>
      </c>
      <c r="B2" s="57" t="s">
        <v>686</v>
      </c>
      <c r="C2" s="57" t="s">
        <v>687</v>
      </c>
      <c r="D2" s="57" t="s">
        <v>688</v>
      </c>
      <c r="E2" s="57" t="s">
        <v>689</v>
      </c>
      <c r="F2" s="57" t="s">
        <v>686</v>
      </c>
      <c r="G2" s="57" t="s">
        <v>687</v>
      </c>
      <c r="H2" s="57" t="s">
        <v>688</v>
      </c>
      <c r="J2" s="57" t="s">
        <v>690</v>
      </c>
      <c r="K2" s="57" t="s">
        <v>691</v>
      </c>
      <c r="L2" s="58" t="s">
        <v>692</v>
      </c>
    </row>
    <row r="3" ht="15.75" customHeight="1">
      <c r="A3" s="57" t="s">
        <v>690</v>
      </c>
      <c r="B3" s="57" t="s">
        <v>693</v>
      </c>
      <c r="C3" s="57" t="s">
        <v>693</v>
      </c>
      <c r="D3" s="57" t="s">
        <v>694</v>
      </c>
      <c r="E3" s="54"/>
      <c r="F3" s="54"/>
      <c r="G3" s="54"/>
      <c r="H3" s="54"/>
      <c r="J3" s="57" t="s">
        <v>690</v>
      </c>
      <c r="K3" s="57" t="s">
        <v>695</v>
      </c>
      <c r="L3" s="58" t="s">
        <v>696</v>
      </c>
    </row>
    <row r="4" ht="15.75" customHeight="1">
      <c r="A4" s="57" t="s">
        <v>545</v>
      </c>
      <c r="B4" s="57" t="s">
        <v>693</v>
      </c>
      <c r="C4" s="57" t="s">
        <v>693</v>
      </c>
      <c r="D4" s="57" t="s">
        <v>694</v>
      </c>
      <c r="E4" s="54"/>
      <c r="F4" s="54"/>
      <c r="G4" s="54"/>
      <c r="H4" s="54"/>
      <c r="J4" s="57" t="s">
        <v>545</v>
      </c>
      <c r="K4" s="57" t="s">
        <v>697</v>
      </c>
      <c r="L4" s="58" t="s">
        <v>698</v>
      </c>
    </row>
    <row r="5" ht="15.75" customHeight="1">
      <c r="A5" s="57" t="s">
        <v>699</v>
      </c>
      <c r="B5" s="57" t="s">
        <v>693</v>
      </c>
      <c r="C5" s="57" t="s">
        <v>693</v>
      </c>
      <c r="D5" s="57" t="s">
        <v>694</v>
      </c>
      <c r="E5" s="54"/>
      <c r="F5" s="54"/>
      <c r="G5" s="54"/>
      <c r="H5" s="54"/>
      <c r="J5" s="57" t="s">
        <v>699</v>
      </c>
      <c r="K5" s="57" t="s">
        <v>700</v>
      </c>
      <c r="L5" s="58" t="s">
        <v>701</v>
      </c>
    </row>
    <row r="6" ht="15.75" customHeight="1">
      <c r="A6" s="57" t="s">
        <v>194</v>
      </c>
      <c r="B6" s="57" t="s">
        <v>693</v>
      </c>
      <c r="C6" s="57" t="s">
        <v>693</v>
      </c>
      <c r="D6" s="54"/>
      <c r="E6" s="54"/>
      <c r="F6" s="54"/>
      <c r="G6" s="54"/>
      <c r="H6" s="54"/>
      <c r="J6" s="57" t="s">
        <v>699</v>
      </c>
      <c r="K6" s="57" t="s">
        <v>702</v>
      </c>
      <c r="L6" s="58" t="s">
        <v>703</v>
      </c>
    </row>
    <row r="7" ht="15.75" customHeight="1">
      <c r="A7" s="57" t="s">
        <v>704</v>
      </c>
      <c r="B7" s="57" t="s">
        <v>693</v>
      </c>
      <c r="C7" s="57" t="s">
        <v>693</v>
      </c>
      <c r="D7" s="57" t="s">
        <v>694</v>
      </c>
      <c r="E7" s="54"/>
      <c r="F7" s="54"/>
      <c r="G7" s="54"/>
      <c r="H7" s="54"/>
      <c r="J7" s="57" t="s">
        <v>194</v>
      </c>
      <c r="K7" s="57" t="s">
        <v>705</v>
      </c>
      <c r="L7" s="58" t="s">
        <v>286</v>
      </c>
    </row>
    <row r="8" ht="15.75" customHeight="1">
      <c r="A8" s="57" t="s">
        <v>133</v>
      </c>
      <c r="B8" s="57" t="s">
        <v>693</v>
      </c>
      <c r="C8" s="57" t="s">
        <v>693</v>
      </c>
      <c r="D8" s="54"/>
      <c r="E8" s="54"/>
      <c r="F8" s="54"/>
      <c r="G8" s="54"/>
      <c r="H8" s="54"/>
      <c r="J8" s="57" t="s">
        <v>704</v>
      </c>
      <c r="K8" s="57" t="s">
        <v>706</v>
      </c>
      <c r="L8" s="58" t="s">
        <v>303</v>
      </c>
    </row>
    <row r="9" ht="15.75" customHeight="1">
      <c r="A9" s="57" t="s">
        <v>633</v>
      </c>
      <c r="B9" s="57" t="s">
        <v>693</v>
      </c>
      <c r="C9" s="57" t="s">
        <v>693</v>
      </c>
      <c r="D9" s="54"/>
      <c r="E9" s="54"/>
      <c r="F9" s="54"/>
      <c r="G9" s="54"/>
      <c r="H9" s="54"/>
      <c r="J9" s="57" t="s">
        <v>704</v>
      </c>
      <c r="K9" s="57" t="s">
        <v>707</v>
      </c>
      <c r="L9" s="58" t="s">
        <v>708</v>
      </c>
    </row>
    <row r="10" ht="15.75" customHeight="1">
      <c r="A10" s="57" t="s">
        <v>709</v>
      </c>
      <c r="B10" s="57" t="s">
        <v>693</v>
      </c>
      <c r="C10" s="57" t="s">
        <v>693</v>
      </c>
      <c r="D10" s="54"/>
      <c r="E10" s="54"/>
      <c r="F10" s="54"/>
      <c r="G10" s="54"/>
      <c r="H10" s="54"/>
      <c r="J10" s="57" t="s">
        <v>133</v>
      </c>
      <c r="K10" s="57" t="s">
        <v>710</v>
      </c>
      <c r="L10" s="59" t="s">
        <v>711</v>
      </c>
    </row>
    <row r="11" ht="15.75" customHeight="1">
      <c r="A11" s="57" t="s">
        <v>178</v>
      </c>
      <c r="B11" s="57" t="s">
        <v>694</v>
      </c>
      <c r="C11" s="57" t="s">
        <v>693</v>
      </c>
      <c r="D11" s="54"/>
      <c r="E11" s="54"/>
      <c r="F11" s="54"/>
      <c r="G11" s="54"/>
      <c r="H11" s="54"/>
      <c r="J11" s="57" t="s">
        <v>133</v>
      </c>
      <c r="K11" s="57" t="s">
        <v>405</v>
      </c>
      <c r="L11" s="59" t="s">
        <v>406</v>
      </c>
    </row>
    <row r="12" ht="15.75" customHeight="1">
      <c r="A12" s="57" t="s">
        <v>377</v>
      </c>
      <c r="B12" s="54"/>
      <c r="C12" s="54"/>
      <c r="D12" s="54"/>
      <c r="E12" s="54"/>
      <c r="F12" s="54"/>
      <c r="G12" s="54"/>
      <c r="H12" s="54"/>
      <c r="J12" s="57" t="s">
        <v>633</v>
      </c>
      <c r="K12" s="57" t="s">
        <v>634</v>
      </c>
      <c r="L12" s="59" t="s">
        <v>712</v>
      </c>
    </row>
    <row r="13" ht="15.75" customHeight="1">
      <c r="A13" s="57" t="s">
        <v>713</v>
      </c>
      <c r="B13" s="54"/>
      <c r="C13" s="57" t="s">
        <v>693</v>
      </c>
      <c r="D13" s="54"/>
      <c r="E13" s="54"/>
      <c r="F13" s="54"/>
      <c r="G13" s="54"/>
      <c r="H13" s="54"/>
      <c r="J13" s="57" t="s">
        <v>709</v>
      </c>
      <c r="K13" s="57" t="s">
        <v>357</v>
      </c>
      <c r="L13" s="59" t="s">
        <v>714</v>
      </c>
    </row>
    <row r="14" ht="15.75" customHeight="1">
      <c r="A14" s="57" t="s">
        <v>715</v>
      </c>
      <c r="B14" s="54"/>
      <c r="C14" s="54"/>
      <c r="D14" s="54" t="s">
        <v>694</v>
      </c>
      <c r="E14" s="54"/>
      <c r="F14" s="54"/>
      <c r="G14" s="54"/>
      <c r="H14" s="54"/>
      <c r="J14" s="57" t="s">
        <v>178</v>
      </c>
      <c r="K14" s="57" t="s">
        <v>716</v>
      </c>
      <c r="L14" s="59" t="s">
        <v>717</v>
      </c>
    </row>
    <row r="15" ht="15.75" customHeight="1">
      <c r="A15" s="57" t="s">
        <v>718</v>
      </c>
      <c r="B15" s="54"/>
      <c r="C15" s="54"/>
      <c r="D15" s="54"/>
      <c r="E15" s="54"/>
      <c r="F15" s="54"/>
      <c r="G15" s="54"/>
      <c r="H15" s="54"/>
      <c r="J15" s="57" t="s">
        <v>377</v>
      </c>
      <c r="K15" s="57" t="s">
        <v>719</v>
      </c>
      <c r="L15" s="59" t="s">
        <v>720</v>
      </c>
    </row>
    <row r="16" ht="15.75" customHeight="1">
      <c r="A16" s="57" t="s">
        <v>539</v>
      </c>
      <c r="B16" s="54"/>
      <c r="C16" s="54"/>
      <c r="D16" s="54"/>
      <c r="E16" s="54"/>
      <c r="F16" s="54"/>
      <c r="G16" s="54"/>
      <c r="H16" s="54"/>
      <c r="J16" s="57" t="s">
        <v>713</v>
      </c>
      <c r="K16" s="57" t="s">
        <v>322</v>
      </c>
      <c r="L16" s="59" t="s">
        <v>721</v>
      </c>
    </row>
    <row r="17" ht="15.75" customHeight="1">
      <c r="A17" s="57" t="s">
        <v>722</v>
      </c>
      <c r="B17" s="54"/>
      <c r="C17" s="54"/>
      <c r="D17" s="54"/>
      <c r="E17" s="54"/>
      <c r="F17" s="54"/>
      <c r="G17" s="54"/>
      <c r="H17" s="54"/>
      <c r="J17" s="58" t="s">
        <v>407</v>
      </c>
      <c r="K17" s="54" t="s">
        <v>409</v>
      </c>
      <c r="L17" s="59" t="s">
        <v>723</v>
      </c>
    </row>
    <row r="18" ht="15.75" customHeight="1">
      <c r="A18" s="57" t="s">
        <v>494</v>
      </c>
      <c r="B18" s="60" t="s">
        <v>693</v>
      </c>
      <c r="C18" s="60" t="s">
        <v>693</v>
      </c>
      <c r="D18" s="60" t="s">
        <v>724</v>
      </c>
      <c r="E18" s="60"/>
      <c r="F18" s="60"/>
      <c r="G18" s="60"/>
      <c r="H18" s="60"/>
      <c r="J18" s="57" t="s">
        <v>718</v>
      </c>
      <c r="K18" s="54" t="s">
        <v>481</v>
      </c>
      <c r="L18" s="59" t="s">
        <v>481</v>
      </c>
    </row>
    <row r="19" ht="15.75" customHeight="1">
      <c r="A19" s="57" t="s">
        <v>725</v>
      </c>
      <c r="B19" s="60" t="s">
        <v>693</v>
      </c>
      <c r="C19" s="60"/>
      <c r="D19" s="60" t="s">
        <v>724</v>
      </c>
      <c r="E19" s="60"/>
      <c r="F19" s="60"/>
      <c r="G19" s="60"/>
      <c r="H19" s="60"/>
      <c r="J19" s="57" t="s">
        <v>539</v>
      </c>
      <c r="K19" s="54" t="s">
        <v>541</v>
      </c>
      <c r="L19" s="59" t="s">
        <v>543</v>
      </c>
    </row>
    <row r="20" ht="15.75" customHeight="1">
      <c r="A20" s="57" t="s">
        <v>726</v>
      </c>
      <c r="B20" s="60" t="s">
        <v>693</v>
      </c>
      <c r="C20" s="60" t="s">
        <v>724</v>
      </c>
      <c r="D20" s="60"/>
      <c r="E20" s="60"/>
      <c r="F20" s="60"/>
      <c r="G20" s="60"/>
      <c r="H20" s="60"/>
      <c r="J20" s="57" t="s">
        <v>722</v>
      </c>
      <c r="K20" s="57" t="s">
        <v>379</v>
      </c>
      <c r="L20" s="58" t="s">
        <v>381</v>
      </c>
    </row>
    <row r="21" ht="15.75" customHeight="1">
      <c r="A21" s="57" t="s">
        <v>574</v>
      </c>
      <c r="B21" s="60"/>
      <c r="C21" s="60" t="s">
        <v>724</v>
      </c>
      <c r="D21" s="60"/>
      <c r="E21" s="60"/>
      <c r="F21" s="60"/>
      <c r="G21" s="60"/>
      <c r="H21" s="6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E1:H1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3.75"/>
    <col customWidth="1" min="3" max="3" width="14.25"/>
    <col customWidth="1" min="4" max="6" width="12.63"/>
  </cols>
  <sheetData>
    <row r="1" ht="15.75" customHeight="1">
      <c r="A1" s="61" t="s">
        <v>77</v>
      </c>
      <c r="B1" s="61" t="s">
        <v>727</v>
      </c>
      <c r="C1" s="61" t="s">
        <v>728</v>
      </c>
      <c r="D1" s="61" t="s">
        <v>729</v>
      </c>
    </row>
    <row r="2" ht="15.75" customHeight="1">
      <c r="A2" s="37" t="s">
        <v>690</v>
      </c>
      <c r="B2" s="37" t="s">
        <v>730</v>
      </c>
      <c r="C2" s="37" t="s">
        <v>296</v>
      </c>
    </row>
    <row r="3" ht="15.75" customHeight="1">
      <c r="A3" s="37" t="s">
        <v>598</v>
      </c>
      <c r="B3" s="37" t="s">
        <v>731</v>
      </c>
      <c r="C3" s="37" t="s">
        <v>732</v>
      </c>
    </row>
    <row r="4" ht="15.75" customHeight="1">
      <c r="A4" s="37" t="s">
        <v>574</v>
      </c>
      <c r="B4" s="37" t="s">
        <v>731</v>
      </c>
      <c r="C4" s="37" t="s">
        <v>733</v>
      </c>
    </row>
    <row r="5" ht="15.75" customHeight="1">
      <c r="A5" s="37" t="s">
        <v>133</v>
      </c>
      <c r="B5" s="37" t="s">
        <v>734</v>
      </c>
      <c r="C5" s="37" t="s">
        <v>735</v>
      </c>
    </row>
    <row r="6" ht="15.75" customHeight="1">
      <c r="A6" s="37" t="s">
        <v>736</v>
      </c>
      <c r="B6" s="37" t="s">
        <v>734</v>
      </c>
      <c r="C6" s="37" t="s">
        <v>737</v>
      </c>
    </row>
    <row r="7" ht="15.75" customHeight="1">
      <c r="A7" s="37" t="s">
        <v>591</v>
      </c>
      <c r="B7" s="37" t="s">
        <v>734</v>
      </c>
      <c r="C7" s="37" t="s">
        <v>738</v>
      </c>
    </row>
    <row r="8" ht="15.75" customHeight="1">
      <c r="A8" s="37" t="s">
        <v>612</v>
      </c>
      <c r="B8" s="37" t="s">
        <v>739</v>
      </c>
      <c r="C8" s="37" t="s">
        <v>740</v>
      </c>
    </row>
    <row r="9" ht="15.75" customHeight="1">
      <c r="A9" s="37" t="s">
        <v>741</v>
      </c>
      <c r="B9" s="37" t="s">
        <v>742</v>
      </c>
      <c r="C9" s="37" t="s">
        <v>743</v>
      </c>
    </row>
    <row r="10" ht="15.75" customHeight="1">
      <c r="A10" s="62" t="s">
        <v>644</v>
      </c>
      <c r="B10" s="37" t="s">
        <v>744</v>
      </c>
      <c r="C10" s="63" t="s">
        <v>745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75"/>
    <col customWidth="1" min="3" max="3" width="21.0"/>
    <col customWidth="1" min="4" max="6" width="12.63"/>
  </cols>
  <sheetData>
    <row r="1" ht="15.75" customHeight="1">
      <c r="A1" s="61" t="s">
        <v>77</v>
      </c>
      <c r="B1" s="61" t="s">
        <v>727</v>
      </c>
      <c r="C1" s="61" t="s">
        <v>728</v>
      </c>
      <c r="D1" s="61" t="s">
        <v>729</v>
      </c>
    </row>
    <row r="2" ht="15.75" customHeight="1">
      <c r="A2" s="37" t="s">
        <v>746</v>
      </c>
      <c r="B2" s="37" t="s">
        <v>747</v>
      </c>
      <c r="C2" s="37" t="s">
        <v>748</v>
      </c>
    </row>
    <row r="3" ht="15.75" customHeight="1">
      <c r="A3" s="37" t="s">
        <v>741</v>
      </c>
      <c r="B3" s="37" t="s">
        <v>742</v>
      </c>
      <c r="C3" s="37" t="s">
        <v>743</v>
      </c>
    </row>
    <row r="4" ht="15.75" customHeight="1">
      <c r="A4" s="37" t="s">
        <v>595</v>
      </c>
      <c r="B4" s="37" t="s">
        <v>749</v>
      </c>
      <c r="C4" s="37" t="s">
        <v>750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3.75"/>
    <col customWidth="1" min="3" max="3" width="15.38"/>
    <col customWidth="1" min="4" max="6" width="12.63"/>
  </cols>
  <sheetData>
    <row r="1" ht="15.75" customHeight="1">
      <c r="A1" s="61" t="s">
        <v>77</v>
      </c>
      <c r="B1" s="61" t="s">
        <v>727</v>
      </c>
      <c r="C1" s="61" t="s">
        <v>728</v>
      </c>
      <c r="D1" s="61" t="s">
        <v>729</v>
      </c>
    </row>
    <row r="2" ht="15.75" customHeight="1">
      <c r="A2" s="37" t="s">
        <v>570</v>
      </c>
      <c r="B2" s="37" t="s">
        <v>751</v>
      </c>
      <c r="C2" s="37" t="s">
        <v>752</v>
      </c>
    </row>
    <row r="3" ht="15.75" customHeight="1">
      <c r="A3" s="37" t="s">
        <v>690</v>
      </c>
      <c r="B3" s="37" t="s">
        <v>730</v>
      </c>
      <c r="C3" s="37" t="s">
        <v>296</v>
      </c>
    </row>
    <row r="4" ht="15.75" customHeight="1">
      <c r="A4" s="37" t="s">
        <v>598</v>
      </c>
      <c r="B4" s="37" t="s">
        <v>731</v>
      </c>
      <c r="C4" s="37" t="s">
        <v>732</v>
      </c>
    </row>
    <row r="5" ht="15.75" customHeight="1">
      <c r="A5" s="37" t="s">
        <v>574</v>
      </c>
      <c r="B5" s="37" t="s">
        <v>731</v>
      </c>
      <c r="C5" s="37" t="s">
        <v>733</v>
      </c>
    </row>
    <row r="6" ht="15.75" customHeight="1">
      <c r="A6" s="37" t="s">
        <v>133</v>
      </c>
      <c r="B6" s="37" t="s">
        <v>734</v>
      </c>
      <c r="C6" s="37" t="s">
        <v>735</v>
      </c>
    </row>
    <row r="7" ht="15.75" customHeight="1">
      <c r="A7" s="37" t="s">
        <v>736</v>
      </c>
      <c r="B7" s="37" t="s">
        <v>734</v>
      </c>
      <c r="C7" s="37" t="s">
        <v>737</v>
      </c>
    </row>
    <row r="8" ht="15.75" customHeight="1">
      <c r="A8" s="37" t="s">
        <v>612</v>
      </c>
      <c r="B8" s="37" t="s">
        <v>739</v>
      </c>
      <c r="C8" s="37" t="s">
        <v>740</v>
      </c>
    </row>
    <row r="9" ht="15.75" customHeight="1">
      <c r="A9" s="37" t="s">
        <v>741</v>
      </c>
      <c r="B9" s="37" t="s">
        <v>742</v>
      </c>
      <c r="C9" s="37" t="s">
        <v>743</v>
      </c>
    </row>
    <row r="10" ht="15.75" customHeight="1">
      <c r="A10" s="37" t="s">
        <v>545</v>
      </c>
      <c r="B10" s="37" t="s">
        <v>753</v>
      </c>
      <c r="C10" s="37" t="s">
        <v>754</v>
      </c>
    </row>
    <row r="11" ht="15.75" customHeight="1">
      <c r="A11" s="37" t="s">
        <v>549</v>
      </c>
      <c r="B11" s="37" t="s">
        <v>755</v>
      </c>
      <c r="C11" s="37" t="s">
        <v>756</v>
      </c>
    </row>
    <row r="12" ht="15.75" customHeight="1">
      <c r="A12" s="37" t="s">
        <v>194</v>
      </c>
      <c r="B12" s="37" t="s">
        <v>757</v>
      </c>
      <c r="C12" s="62" t="s">
        <v>758</v>
      </c>
    </row>
    <row r="13" ht="15.75" customHeight="1">
      <c r="A13" s="37" t="s">
        <v>175</v>
      </c>
      <c r="B13" s="37" t="s">
        <v>176</v>
      </c>
      <c r="C13" s="62" t="s">
        <v>759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75"/>
    <col customWidth="1" min="3" max="3" width="14.25"/>
    <col customWidth="1" min="4" max="6" width="12.63"/>
  </cols>
  <sheetData>
    <row r="1" ht="15.75" customHeight="1">
      <c r="A1" s="61" t="s">
        <v>77</v>
      </c>
      <c r="B1" s="61" t="s">
        <v>727</v>
      </c>
      <c r="C1" s="61" t="s">
        <v>728</v>
      </c>
      <c r="D1" s="61" t="s">
        <v>729</v>
      </c>
    </row>
    <row r="2" ht="15.75" customHeight="1">
      <c r="A2" s="37" t="s">
        <v>570</v>
      </c>
      <c r="B2" s="37" t="s">
        <v>751</v>
      </c>
      <c r="C2" s="37" t="s">
        <v>752</v>
      </c>
    </row>
    <row r="3" ht="15.75" customHeight="1">
      <c r="A3" s="37" t="s">
        <v>690</v>
      </c>
      <c r="B3" s="37" t="s">
        <v>730</v>
      </c>
      <c r="C3" s="37" t="s">
        <v>296</v>
      </c>
    </row>
    <row r="4" ht="15.75" customHeight="1">
      <c r="A4" s="37" t="s">
        <v>598</v>
      </c>
      <c r="B4" s="37" t="s">
        <v>731</v>
      </c>
      <c r="C4" s="37" t="s">
        <v>732</v>
      </c>
    </row>
    <row r="5" ht="15.75" customHeight="1">
      <c r="A5" s="37" t="s">
        <v>133</v>
      </c>
      <c r="B5" s="37" t="s">
        <v>734</v>
      </c>
      <c r="C5" s="37" t="s">
        <v>735</v>
      </c>
    </row>
    <row r="6" ht="15.75" customHeight="1">
      <c r="A6" s="37" t="s">
        <v>612</v>
      </c>
      <c r="B6" s="37" t="s">
        <v>739</v>
      </c>
      <c r="C6" s="37" t="s">
        <v>740</v>
      </c>
    </row>
    <row r="7" ht="15.75" customHeight="1">
      <c r="A7" s="37" t="s">
        <v>760</v>
      </c>
      <c r="B7" s="37" t="s">
        <v>761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