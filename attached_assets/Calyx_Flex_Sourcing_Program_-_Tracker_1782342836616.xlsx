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cory/Downloads/"/>
    </mc:Choice>
  </mc:AlternateContent>
  <xr:revisionPtr revIDLastSave="0" documentId="13_ncr:1_{8268E135-BD85-6D4F-97CF-D6A5985E769A}" xr6:coauthVersionLast="47" xr6:coauthVersionMax="47" xr10:uidLastSave="{00000000-0000-0000-0000-000000000000}"/>
  <bookViews>
    <workbookView xWindow="-20" yWindow="780" windowWidth="41120" windowHeight="23720" activeTab="3" xr2:uid="{00000000-000D-0000-FFFF-FFFF00000000}"/>
  </bookViews>
  <sheets>
    <sheet name="README" sheetId="1" r:id="rId1"/>
    <sheet name="Roadmap" sheetId="2" r:id="rId2"/>
    <sheet name="Weekly Timeline" sheetId="3" r:id="rId3"/>
    <sheet name="Supplier Pipeline Tracker" sheetId="4" r:id="rId4"/>
    <sheet name="Sprint Scorecard" sheetId="5" r:id="rId5"/>
    <sheet name="Contract &amp; Document Status" sheetId="6" r:id="rId6"/>
    <sheet name="Risk Register" sheetId="7" r:id="rId7"/>
    <sheet name="Reference Lists" sheetId="8" r:id="rId8"/>
  </sheets>
  <definedNames>
    <definedName name="_xlnm._FilterDatabase" localSheetId="5" hidden="1">'Contract &amp; Document Status'!$A$4:$N$44</definedName>
    <definedName name="_xlnm._FilterDatabase" localSheetId="3" hidden="1">'Supplier Pipeline Tracker'!$A$4:$AM$70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5" l="1"/>
  <c r="J10" i="5"/>
  <c r="I10" i="5"/>
  <c r="H10" i="5"/>
  <c r="G10" i="5"/>
  <c r="F10" i="5"/>
  <c r="E10" i="5"/>
  <c r="J9" i="5"/>
  <c r="I9" i="5"/>
  <c r="H9" i="5"/>
  <c r="G9" i="5"/>
  <c r="F9" i="5"/>
  <c r="E9" i="5"/>
  <c r="J8" i="5"/>
  <c r="I8" i="5"/>
  <c r="H8" i="5"/>
  <c r="G8" i="5"/>
  <c r="F8" i="5"/>
  <c r="E8" i="5"/>
  <c r="J7" i="5"/>
  <c r="I7" i="5"/>
  <c r="H7" i="5"/>
  <c r="G7" i="5"/>
  <c r="F7" i="5"/>
  <c r="E7" i="5"/>
  <c r="J6" i="5"/>
  <c r="I6" i="5"/>
  <c r="H6" i="5"/>
  <c r="G6" i="5"/>
  <c r="F6" i="5"/>
  <c r="E6" i="5"/>
  <c r="J5" i="5"/>
  <c r="I5" i="5"/>
  <c r="H5" i="5"/>
  <c r="G5" i="5"/>
  <c r="F5" i="5"/>
  <c r="E5" i="5"/>
  <c r="Y70" i="4"/>
  <c r="Y69" i="4"/>
  <c r="Y68" i="4"/>
  <c r="Y67" i="4"/>
  <c r="Y66" i="4"/>
  <c r="Y65" i="4"/>
  <c r="Y64" i="4"/>
  <c r="Y63" i="4"/>
  <c r="Y62" i="4"/>
  <c r="Y61" i="4"/>
  <c r="Y60" i="4"/>
  <c r="Y59" i="4"/>
  <c r="Y58" i="4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29" i="4"/>
  <c r="Y28" i="4"/>
  <c r="Y27" i="4"/>
  <c r="Y14" i="4"/>
  <c r="Y11" i="4"/>
  <c r="Y23" i="4"/>
  <c r="Y22" i="4"/>
  <c r="Y21" i="4"/>
  <c r="Y20" i="4"/>
  <c r="Y19" i="4"/>
  <c r="Y18" i="4"/>
  <c r="Y17" i="4"/>
  <c r="Y16" i="4"/>
  <c r="Y37" i="4"/>
  <c r="Y36" i="4"/>
  <c r="Y43" i="4"/>
  <c r="Y42" i="4"/>
  <c r="Y41" i="4"/>
  <c r="Y40" i="4"/>
  <c r="Y39" i="4"/>
  <c r="Y38" i="4"/>
  <c r="Y26" i="4"/>
  <c r="Y25" i="4"/>
  <c r="Y35" i="4"/>
  <c r="Y34" i="4"/>
  <c r="Y33" i="4"/>
  <c r="Y32" i="4"/>
  <c r="Y31" i="4"/>
  <c r="Y30" i="4"/>
  <c r="Y9" i="4"/>
  <c r="Y44" i="4"/>
  <c r="Y10" i="4"/>
  <c r="Y8" i="4"/>
  <c r="Y7" i="4"/>
  <c r="Y15" i="4"/>
  <c r="Y6" i="4"/>
  <c r="Y5" i="4"/>
  <c r="K9" i="5" l="1"/>
  <c r="L9" i="5" s="1"/>
  <c r="K8" i="5"/>
  <c r="L8" i="5" s="1"/>
  <c r="K5" i="5"/>
  <c r="L5" i="5" s="1"/>
  <c r="K7" i="5"/>
  <c r="L7" i="5" s="1"/>
  <c r="K10" i="5"/>
  <c r="E11" i="5"/>
  <c r="K6" i="5"/>
  <c r="L6" i="5" s="1"/>
  <c r="K11" i="5" l="1"/>
  <c r="L11" i="5" s="1"/>
  <c r="L10" i="5"/>
</calcChain>
</file>

<file path=xl/sharedStrings.xml><?xml version="1.0" encoding="utf-8"?>
<sst xmlns="http://schemas.openxmlformats.org/spreadsheetml/2006/main" count="852" uniqueCount="472">
  <si>
    <t>Calyx Containers — Flex Sourcing Program Tracker</t>
  </si>
  <si>
    <t>Working companion to the Flexible Packaging Sourcing Program Playbook. Kickoff: Week of Mon Jun 29, 2026. North star: 50 factories.</t>
  </si>
  <si>
    <t>Tab</t>
  </si>
  <si>
    <t>What it's for</t>
  </si>
  <si>
    <t>Roadmap</t>
  </si>
  <si>
    <t>Wave/phase roadmap (Wave 1 → Wave 2 → Flexo/Roto → Tins → Pop-top tubes → Boxes), dated.</t>
  </si>
  <si>
    <t>Weekly Timeline</t>
  </si>
  <si>
    <t>Week-by-week goals for both tracks (Weeks 1-12), cumulative contracted, gates.</t>
  </si>
  <si>
    <t>Supplier Pipeline Tracker</t>
  </si>
  <si>
    <t>MASTER vendor list. One row per candidate. Pre-loaded with the Week-0 warm pipeline.</t>
  </si>
  <si>
    <t>Sprint Scorecard</t>
  </si>
  <si>
    <t>Per-sprint + cumulative KPIs. Auto-computed from the Pipeline Tracker (no manual tallying).</t>
  </si>
  <si>
    <t>Contract &amp; Document Status</t>
  </si>
  <si>
    <t>Per-vendor contract paper status (NDA/MSA/annex), Calyx-legal-name check, IP/non-compete.</t>
  </si>
  <si>
    <t>Risk Register</t>
  </si>
  <si>
    <t>Program risks, likelihood/impact, mitigation, owner.</t>
  </si>
  <si>
    <t>Reference Lists</t>
  </si>
  <si>
    <t>Dropdown source values (Track, Tier, Stage, Category, etc.). Edit here to change dropdowns.</t>
  </si>
  <si>
    <t>Key rule</t>
  </si>
  <si>
    <t>A vendor is CONTRACTED when it has an MSA_Date AND Capability_Verified = "Y" (real manufacturer, not a broker). Trial / PSI / AQL run on the follow-on qualification track and do NOT block the contract gate.</t>
  </si>
  <si>
    <t>Stages</t>
  </si>
  <si>
    <t>Identify → Screen → Qualify → NDA → RFQ → Sample → Tour/Audit → Contracted → Qualifying → Active  (or Parked).</t>
  </si>
  <si>
    <t>Tiers</t>
  </si>
  <si>
    <t>T1 = primary  ·  T2 = backup  ·  T3 = pipeline.</t>
  </si>
  <si>
    <t>Legend</t>
  </si>
  <si>
    <t>Status RAG: Green = on track · Amber = at risk · Red = blocked. Amber fill = sourcing gap / needs verification.</t>
  </si>
  <si>
    <t>Wave &amp; Phase Roadmap</t>
  </si>
  <si>
    <t>Flex first; later phases telescope. Identification leads contracting by one sprint; qualification trails it.</t>
  </si>
  <si>
    <t>Wave / Phase</t>
  </si>
  <si>
    <t>Scope</t>
  </si>
  <si>
    <t>Domestic (Jake)</t>
  </si>
  <si>
    <t>International (Steven +2)</t>
  </si>
  <si>
    <t>Sprint / Weeks</t>
  </si>
  <si>
    <t>Exit gate</t>
  </si>
  <si>
    <t>Wave 1 — Digital flex (beachhead)</t>
  </si>
  <si>
    <t>Domestic digital mid-web ("Spaceship") + intl digital flex; pair w/ labels</t>
  </si>
  <si>
    <t>2 → NDA+MSA+capability</t>
  </si>
  <si>
    <t>1 → NDA/MSA + factory tour</t>
  </si>
  <si>
    <t>Sprint 1 / Wks 1-2</t>
  </si>
  <si>
    <t>3 contracted; intl tour done; qual track opened; PackOS fields live</t>
  </si>
  <si>
    <t>Wave 2 — Flex scale ("quick second")</t>
  </si>
  <si>
    <t>More flexpack (digital + early flexo-capable)</t>
  </si>
  <si>
    <t>+3</t>
  </si>
  <si>
    <t>+3 Guangdong (incl. &gt;=1 Vietnam)</t>
  </si>
  <si>
    <t>Sprint 2 / Wks 3-4</t>
  </si>
  <si>
    <t>Cum. 9; all tier-tagged; Wave 1 trials/PSI in motion</t>
  </si>
  <si>
    <t>Phase 3 — Flexo / Rotogravure</t>
  </si>
  <si>
    <t>High-volume flexo + roto, both tracks</t>
  </si>
  <si>
    <t>+2-3</t>
  </si>
  <si>
    <t>+2-3 (Guangdong + East China)</t>
  </si>
  <si>
    <t>Sprints 3-4 / Wks 5-8</t>
  </si>
  <si>
    <t>Cum. ~15; Wave 1 go/no-go; first T1 promotion; ~30% to 50</t>
  </si>
  <si>
    <t>Phase 4 — Tin containers</t>
  </si>
  <si>
    <t>Tins (mine CNY-list tin vendors)</t>
  </si>
  <si>
    <t>+2</t>
  </si>
  <si>
    <t>Sprints 5-6 / Wks 9-12</t>
  </si>
  <si>
    <t>Cum. ~19-20; dual-country live &gt;=1 category</t>
  </si>
  <si>
    <t>Phase 5 — Pop-top tubes</t>
  </si>
  <si>
    <t>Pre-labeled pop tubes (#1 new intl request)</t>
  </si>
  <si>
    <t>support</t>
  </si>
  <si>
    <t>+3 (pre-label capable)</t>
  </si>
  <si>
    <t>Sprints 6-7 / Wks 11-14</t>
  </si>
  <si>
    <t>Pre-label pop-tube trial; label+tube spec in PackOS</t>
  </si>
  <si>
    <t>Phase 6 — Boxes (Rigid/CR + SBS/Display)</t>
  </si>
  <si>
    <t>Rigid/CR + SBS/display</t>
  </si>
  <si>
    <t>+2-3 (East China + Vietnam paper offset)</t>
  </si>
  <si>
    <t>Sprints 7-9 / Wks 13-18</t>
  </si>
  <si>
    <t>Cum. ~28-30+; Phase 2 Scale ($500K-&gt;$2M) underway</t>
  </si>
  <si>
    <t>Weekly Goal Timeline (Weeks 0-12)</t>
  </si>
  <si>
    <t>Kickoff Mon Jun 29, 2026. Holidays: Fri Jul 3 (sign by Thu Jul 2); Mon Sep 7 Labor Day (move sync to Tue Sep 8).</t>
  </si>
  <si>
    <t>Wk</t>
  </si>
  <si>
    <t>Dates</t>
  </si>
  <si>
    <t>Cum. contracted</t>
  </si>
  <si>
    <t>Gate / milestone</t>
  </si>
  <si>
    <t>0</t>
  </si>
  <si>
    <t>Jun 22-26</t>
  </si>
  <si>
    <t>Build warm pipeline; templates/signature/Legal SLA; open PackOS fields; deposit envelope</t>
  </si>
  <si>
    <t>Same — warm Guangdong list + CNY-vendor outreach</t>
  </si>
  <si>
    <t>Pre-work complete</t>
  </si>
  <si>
    <t>1</t>
  </si>
  <si>
    <t>Jun 29-Jul 3</t>
  </si>
  <si>
    <t>Down-select 2 digital mid-web; RFIs/NDAs out; samples requested</t>
  </si>
  <si>
    <t>NDA out; factory tour executed; MSA issued</t>
  </si>
  <si>
    <t>Sprint 1 midpoint</t>
  </si>
  <si>
    <t>2</t>
  </si>
  <si>
    <t>Jul 6-10</t>
  </si>
  <si>
    <t>2 domestic NDA+MSA + capability verified</t>
  </si>
  <si>
    <t>1 intl NDA/MSA + tour + capability verified</t>
  </si>
  <si>
    <t>3</t>
  </si>
  <si>
    <t>* Wave 1 contracted; first Supply Web entries</t>
  </si>
  <si>
    <t>Jul 13-17</t>
  </si>
  <si>
    <t>Down-select 3 dom flexpack; RFQs out</t>
  </si>
  <si>
    <t>3 Guangdong (incl. &gt;=1 Vietnam) NDAs/tours scheduled</t>
  </si>
  <si>
    <t>Sprint 2 start; Wave 1 trials in transit</t>
  </si>
  <si>
    <t>4</t>
  </si>
  <si>
    <t>Jul 20-24</t>
  </si>
  <si>
    <t>+3 domestic contracted</t>
  </si>
  <si>
    <t>+3 intl contracted + tours</t>
  </si>
  <si>
    <t>9</t>
  </si>
  <si>
    <t>* Wave 2 contracted (+3/+3); roto sourcing begins</t>
  </si>
  <si>
    <t>5</t>
  </si>
  <si>
    <t>Jul 27-31</t>
  </si>
  <si>
    <t>Identify dom flexo/roto; Wave-1 samples approved</t>
  </si>
  <si>
    <t>Flexo/roto NDAs; tours; Wave-1 samples arrive</t>
  </si>
  <si>
    <t>Sprint 3 start</t>
  </si>
  <si>
    <t>6</t>
  </si>
  <si>
    <t>Aug 3-7</t>
  </si>
  <si>
    <t>+1-2 dom flexo; Wave-1 dom -&gt; T1</t>
  </si>
  <si>
    <t>+1-2 intl flexo; tours done</t>
  </si>
  <si>
    <t>~12</t>
  </si>
  <si>
    <t>Wave 1 intl PSI result in</t>
  </si>
  <si>
    <t>7</t>
  </si>
  <si>
    <t>Aug 10-14</t>
  </si>
  <si>
    <t>Roto contracting; manage trials</t>
  </si>
  <si>
    <t>+1 intl roto; Wave-1 first shipment clears (ISF 10+2)</t>
  </si>
  <si>
    <t>~13</t>
  </si>
  <si>
    <t>* Wave 1 intl go/no-go</t>
  </si>
  <si>
    <t>8</t>
  </si>
  <si>
    <t>Aug 17-21</t>
  </si>
  <si>
    <t>+2-3 dom flexo/roto total</t>
  </si>
  <si>
    <t>+2-3 intl flexo/roto total</t>
  </si>
  <si>
    <t>~15</t>
  </si>
  <si>
    <t>* Phase 3 contracted; Month-2 checkpoint; ~30% to 50</t>
  </si>
  <si>
    <t>Aug 24-28</t>
  </si>
  <si>
    <t>Identify dom tin</t>
  </si>
  <si>
    <t>Intl tin NDAs (CNY-list); Vietnam activated</t>
  </si>
  <si>
    <t>Dual-country live</t>
  </si>
  <si>
    <t>10</t>
  </si>
  <si>
    <t>Aug 31-Sep 4</t>
  </si>
  <si>
    <t>+2 dom tin</t>
  </si>
  <si>
    <t>+2 intl tin; tours</t>
  </si>
  <si>
    <t>~19</t>
  </si>
  <si>
    <t>Nearing Yr-1 "20 certified"</t>
  </si>
  <si>
    <t>11</t>
  </si>
  <si>
    <t>Sep 7-11</t>
  </si>
  <si>
    <t>Tin qualified; pop-tube support</t>
  </si>
  <si>
    <t>Pre-label pop-tube NDAs/tours; +1 MSA</t>
  </si>
  <si>
    <t>~20-21</t>
  </si>
  <si>
    <t>* 20-factory milestone (~40% of 50)</t>
  </si>
  <si>
    <t>12</t>
  </si>
  <si>
    <t>Sep 14-18</t>
  </si>
  <si>
    <t>Identify dom boxes</t>
  </si>
  <si>
    <t>+2 intl pop-tube; box sourcing begins</t>
  </si>
  <si>
    <t>~22-23</t>
  </si>
  <si>
    <t>* End-of-POC (Month 3) go/no-go; ~45% to 50</t>
  </si>
  <si>
    <t>Supplier Pipeline Tracker (master)</t>
  </si>
  <si>
    <t>One row per candidate vendor. CONTRACTED = MSA_Date filled AND Capability_Verified = "Y". Pre-loaded with the Week-0 warm pipeline.</t>
  </si>
  <si>
    <t>Vendor_ID</t>
  </si>
  <si>
    <t>Vendor_Name</t>
  </si>
  <si>
    <t>Track</t>
  </si>
  <si>
    <t>Country</t>
  </si>
  <si>
    <t>Cluster</t>
  </si>
  <si>
    <t>Category</t>
  </si>
  <si>
    <t>Sub_Capability</t>
  </si>
  <si>
    <t>Tier</t>
  </si>
  <si>
    <t>Primary/Secondary</t>
  </si>
  <si>
    <t>Stage</t>
  </si>
  <si>
    <t>Owner</t>
  </si>
  <si>
    <t>Capability_Verified</t>
  </si>
  <si>
    <t>MOQ</t>
  </si>
  <si>
    <t>Lead_Time_Days</t>
  </si>
  <si>
    <t>AQL_Standard</t>
  </si>
  <si>
    <t>PSI_Status</t>
  </si>
  <si>
    <t>Trial_Order_No</t>
  </si>
  <si>
    <t>Trial_Result</t>
  </si>
  <si>
    <t>Command_Integrated</t>
  </si>
  <si>
    <t>PackOS_Handoff</t>
  </si>
  <si>
    <t>IP_Clause</t>
  </si>
  <si>
    <t>NonCompete_24mo</t>
  </si>
  <si>
    <t>Status_RAG</t>
  </si>
  <si>
    <t>Next_Action</t>
  </si>
  <si>
    <t>Next_Action_Due</t>
  </si>
  <si>
    <t>Notes</t>
  </si>
  <si>
    <t>FLEX-D-001</t>
  </si>
  <si>
    <t>DazPak Flexible Packaging</t>
  </si>
  <si>
    <t>N</t>
  </si>
  <si>
    <t>Domestic</t>
  </si>
  <si>
    <t>USA</t>
  </si>
  <si>
    <t>US-CA</t>
  </si>
  <si>
    <t>Domestic Flexographic</t>
  </si>
  <si>
    <t>Pouches/rollstock, low MOQ</t>
  </si>
  <si>
    <t>T1</t>
  </si>
  <si>
    <t>Primary</t>
  </si>
  <si>
    <t>Qualify</t>
  </si>
  <si>
    <t>Jake King</t>
  </si>
  <si>
    <t>S1</t>
  </si>
  <si>
    <t>FLEX-D-002</t>
  </si>
  <si>
    <t>Ross Print &amp; Packaging</t>
  </si>
  <si>
    <t>US-WA</t>
  </si>
  <si>
    <t>Domestic Digital</t>
  </si>
  <si>
    <t>HP Indigo + flexo + labels</t>
  </si>
  <si>
    <t>T2</t>
  </si>
  <si>
    <t>Secondary</t>
  </si>
  <si>
    <t>FLEX-D-003</t>
  </si>
  <si>
    <t>FLEX-I-001</t>
  </si>
  <si>
    <t>Y</t>
  </si>
  <si>
    <t>International</t>
  </si>
  <si>
    <t>China</t>
  </si>
  <si>
    <t>Guangdong</t>
  </si>
  <si>
    <t>International Digital</t>
  </si>
  <si>
    <t>CR Pouch — verify digital print</t>
  </si>
  <si>
    <t>T3</t>
  </si>
  <si>
    <t>Identify</t>
  </si>
  <si>
    <t>Steven Yao</t>
  </si>
  <si>
    <t>FLEX-D-004</t>
  </si>
  <si>
    <t>Morris Packaging</t>
  </si>
  <si>
    <t>US-IL</t>
  </si>
  <si>
    <t>Pouches/roll stock, sustainable films</t>
  </si>
  <si>
    <t>S2</t>
  </si>
  <si>
    <t>FLEX-D-005</t>
  </si>
  <si>
    <t>InkWorks Printing</t>
  </si>
  <si>
    <t>US-WI</t>
  </si>
  <si>
    <t>PS labels, pouch/mailer print</t>
  </si>
  <si>
    <t>FLEX-D-006</t>
  </si>
  <si>
    <t>FLEX-I-002</t>
  </si>
  <si>
    <t>TedPack Company Ltd.</t>
  </si>
  <si>
    <t>International Rotogravure</t>
  </si>
  <si>
    <t>Custom pouches; ISO/BRCGS/BSCI</t>
  </si>
  <si>
    <t>FLEX-I-003</t>
  </si>
  <si>
    <t>East China</t>
  </si>
  <si>
    <t>FLEX-I-004</t>
  </si>
  <si>
    <t>Shrinks</t>
  </si>
  <si>
    <t>LBL-I-001</t>
  </si>
  <si>
    <t>Labels</t>
  </si>
  <si>
    <t>Label printing (beachhead pair)</t>
  </si>
  <si>
    <t>Flex Materials</t>
  </si>
  <si>
    <t>Active</t>
  </si>
  <si>
    <t>FLEX-D-007</t>
  </si>
  <si>
    <t>Takigawa Corp. America</t>
  </si>
  <si>
    <t>US-KY</t>
  </si>
  <si>
    <t>Domestic Rotogravure</t>
  </si>
  <si>
    <t>High-barrier pouches/rollstock</t>
  </si>
  <si>
    <t>S3</t>
  </si>
  <si>
    <t>TIN-I-001</t>
  </si>
  <si>
    <t>TinWonder (Dongguan)</t>
  </si>
  <si>
    <t>Tins</t>
  </si>
  <si>
    <t>Tinplate boxes &amp; cans, 2,000+ molds</t>
  </si>
  <si>
    <t>S5</t>
  </si>
  <si>
    <t>TIN-I-002</t>
  </si>
  <si>
    <t>Andylots Tin Box</t>
  </si>
  <si>
    <t>CR tins for cannabis</t>
  </si>
  <si>
    <t>TIN-I-003</t>
  </si>
  <si>
    <t>Tin CR/Non-CR, Slide Tin CR</t>
  </si>
  <si>
    <t>TIN-I-004</t>
  </si>
  <si>
    <t>Tin</t>
  </si>
  <si>
    <t>TIN-I-005</t>
  </si>
  <si>
    <t>S6</t>
  </si>
  <si>
    <t>TIN-I-006</t>
  </si>
  <si>
    <t>Vietnam</t>
  </si>
  <si>
    <t>Tin (Vietnam tariff hedge)</t>
  </si>
  <si>
    <t>TUBE-I-001</t>
  </si>
  <si>
    <t>Pop-top Tubes</t>
  </si>
  <si>
    <t>Pop Top Tube</t>
  </si>
  <si>
    <t>TUBE-I-002</t>
  </si>
  <si>
    <t>Mitsuiwa Shinko (MTS)</t>
  </si>
  <si>
    <t>Taiwan</t>
  </si>
  <si>
    <t>Paper tube, paper box</t>
  </si>
  <si>
    <t>BOX-I-001</t>
  </si>
  <si>
    <t>Boxes (Rigid/CR)</t>
  </si>
  <si>
    <t>Paper/CR/Rigid/Magnetic box</t>
  </si>
  <si>
    <t>S7</t>
  </si>
  <si>
    <t>BOX-I-002</t>
  </si>
  <si>
    <t>CR/Set-up/Flat/Magnetic box</t>
  </si>
  <si>
    <t>BOX-I-003</t>
  </si>
  <si>
    <t>CR/Flat/Setup box</t>
  </si>
  <si>
    <t>BOX-I-004</t>
  </si>
  <si>
    <t>Boxes (SBS/Display)</t>
  </si>
  <si>
    <t>Paper box (Vietnam)</t>
  </si>
  <si>
    <t>BOX-I-005</t>
  </si>
  <si>
    <t>Fujian</t>
  </si>
  <si>
    <t>Paper box, shopping bag</t>
  </si>
  <si>
    <t>S8</t>
  </si>
  <si>
    <t>BOX-I-006</t>
  </si>
  <si>
    <t>Pedestal display</t>
  </si>
  <si>
    <t>BOX-D-001</t>
  </si>
  <si>
    <t>California Packaging &amp; Display</t>
  </si>
  <si>
    <t>Folding cartons, POP displays</t>
  </si>
  <si>
    <t>BOX-D-002</t>
  </si>
  <si>
    <t>Virtual Packaging</t>
  </si>
  <si>
    <t>US-TX</t>
  </si>
  <si>
    <t>Rigid boxes, CR, prototyping</t>
  </si>
  <si>
    <t>Auto-computed from the Supplier Pipeline Tracker. Wave_Sprint values (S1..S9) drive the per-sprint counts. Target = 50 factories.</t>
  </si>
  <si>
    <t>Sprint</t>
  </si>
  <si>
    <t>Weeks</t>
  </si>
  <si>
    <t>Target_Contracted</t>
  </si>
  <si>
    <t>Actual_Contracted</t>
  </si>
  <si>
    <t>NDAs_Executed</t>
  </si>
  <si>
    <t>MSAs_Executed</t>
  </si>
  <si>
    <t>Tours_Completed</t>
  </si>
  <si>
    <t>Trial_Orders_Placed</t>
  </si>
  <si>
    <t>Cumulative_Contracted</t>
  </si>
  <si>
    <t>%_to_Target_50</t>
  </si>
  <si>
    <t>RAG</t>
  </si>
  <si>
    <t>Commentary</t>
  </si>
  <si>
    <t>Wks 1-2</t>
  </si>
  <si>
    <t>Jun 29 - Jul 10</t>
  </si>
  <si>
    <t>Green</t>
  </si>
  <si>
    <t>Wks 3-4</t>
  </si>
  <si>
    <t>Jul 13 - Jul 24</t>
  </si>
  <si>
    <t>Wks 5-6</t>
  </si>
  <si>
    <t>Jul 27 - Aug 7</t>
  </si>
  <si>
    <t>S4</t>
  </si>
  <si>
    <t>Wks 7-8</t>
  </si>
  <si>
    <t>Aug 10 - Aug 21</t>
  </si>
  <si>
    <t>Wks 9-10</t>
  </si>
  <si>
    <t>Aug 24 - Sep 4</t>
  </si>
  <si>
    <t>Wks 11-12</t>
  </si>
  <si>
    <t>Sep 7 - Sep 18</t>
  </si>
  <si>
    <t>TOTAL (to date)</t>
  </si>
  <si>
    <t>One row per contract document. ALL international docs must be in Calyx Containers' legal name.</t>
  </si>
  <si>
    <t>Doc_Type</t>
  </si>
  <si>
    <t>Calyx_Legal_Entity_Named</t>
  </si>
  <si>
    <t>Sent_Date</t>
  </si>
  <si>
    <t>Signed_Date</t>
  </si>
  <si>
    <t>Countersigned</t>
  </si>
  <si>
    <t>Defect_Penalty_Clause</t>
  </si>
  <si>
    <t>Milestone_Payment_Terms</t>
  </si>
  <si>
    <t>ROFR_Steven_Staff</t>
  </si>
  <si>
    <t>Status</t>
  </si>
  <si>
    <t>Review at every bi-weekly sprint sync. Escalate per the SLT 24-hour rule.</t>
  </si>
  <si>
    <t>#</t>
  </si>
  <si>
    <t>Risk</t>
  </si>
  <si>
    <t>Likelihood</t>
  </si>
  <si>
    <t>Impact</t>
  </si>
  <si>
    <t>Mitigation</t>
  </si>
  <si>
    <t>Trigger / Early signal</t>
  </si>
  <si>
    <t>2-week contracting erodes diligence</t>
  </si>
  <si>
    <t>M-H</t>
  </si>
  <si>
    <t>H</t>
  </si>
  <si>
    <t>Contracted != qualified; MSA carries trial+PSI exit ramp; cap full-run spend until AQL pass</t>
  </si>
  <si>
    <t>Cory</t>
  </si>
  <si>
    <t>Trial/PSI fails after signing</t>
  </si>
  <si>
    <t>Open</t>
  </si>
  <si>
    <t>Legal countersignature throughput (6 in Wks 3-4)</t>
  </si>
  <si>
    <t>Pre-approve 2 master templates (Wk 0); 48-hr Legal SLA; redline-only; off-template -&gt; 24-hr escalation</t>
  </si>
  <si>
    <t>Legal / A: Cory</t>
  </si>
  <si>
    <t>Any MSA waiting &gt;48h</t>
  </si>
  <si>
    <t>Intl qualification lag (PSI/customs can't fit in-sprint)</t>
  </si>
  <si>
    <t>Gate = contracted + tour + capability; go/no-go Wks 6-8; never promise qualified intl in 2 wks</t>
  </si>
  <si>
    <t>Steven / A: Cory</t>
  </si>
  <si>
    <t>PSI slips past Wk 8</t>
  </si>
  <si>
    <t>Warm-pipeline depletion after Wave 2</t>
  </si>
  <si>
    <t>Identification runs a sprint ahead; continuously feed pipeline</t>
  </si>
  <si>
    <t>&lt;5 named candidates per open slot</t>
  </si>
  <si>
    <t>Section 301 tariffs raise China landed cost</t>
  </si>
  <si>
    <t>China+Vietnam dual-country Day 1; &gt;=1 Vietnam by Wave 2; model landed cost both origins</t>
  </si>
  <si>
    <t>Tariff action announced</t>
  </si>
  <si>
    <t>Key-person dependency on Steven</t>
  </si>
  <si>
    <t>M</t>
  </si>
  <si>
    <t>All docs in Calyx name; IP clause; 24-mo non-compete; ROFR on 3 staff; Cory holds docs + relationship map</t>
  </si>
  <si>
    <t>Steven availability change</t>
  </si>
  <si>
    <t>MOQ / deposit cash exposure</t>
  </si>
  <si>
    <t>Milestone/phase-gate payments; trials first; per-sprint deposit cap; breach -&gt; escalate to Heath</t>
  </si>
  <si>
    <t>Cory / A: Heath</t>
  </si>
  <si>
    <t>Deposit request &gt; cap</t>
  </si>
  <si>
    <t>Quality / prepress failure (flex digital art)</t>
  </si>
  <si>
    <t>Mandatory 3rd-party PSI at AQL; trials before full runs; defect penalty in every MSA</t>
  </si>
  <si>
    <t>Quality / A: Cory</t>
  </si>
  <si>
    <t>Trial defect rate &gt; AQL</t>
  </si>
  <si>
    <t>Guangdong supplier concentration</t>
  </si>
  <si>
    <t>Treat Guangdong-only categories as single-source; require T2 outside Guangdong/in Vietnam</t>
  </si>
  <si>
    <t>Category with only Guangdong T1</t>
  </si>
  <si>
    <t>PackOS / Command integration gaps</t>
  </si>
  <si>
    <t>Define handoff fields at Wave 1; vendor not 'done' until data lands; interim sheet + backfill</t>
  </si>
  <si>
    <t>Data not landing in PackOS</t>
  </si>
  <si>
    <t>CNY blackout (~3 wks Jan/Feb, annual)</t>
  </si>
  <si>
    <t>Bake into lead-time KPI; pre-CNY buffer builds; non-issue for mid-2026 start, recurring after</t>
  </si>
  <si>
    <t>Approaching Jan</t>
  </si>
  <si>
    <t>Dropdown source values — edit a column to change the dropdowns used across the tracker.</t>
  </si>
  <si>
    <t>Capability Verified</t>
  </si>
  <si>
    <t>PSI Status</t>
  </si>
  <si>
    <t>Yes/No</t>
  </si>
  <si>
    <t>Not started</t>
  </si>
  <si>
    <t>Screen</t>
  </si>
  <si>
    <t>Booked</t>
  </si>
  <si>
    <t>Amber</t>
  </si>
  <si>
    <t>Pending</t>
  </si>
  <si>
    <t>Passed</t>
  </si>
  <si>
    <t>Red</t>
  </si>
  <si>
    <t>NDA</t>
  </si>
  <si>
    <t>Failed</t>
  </si>
  <si>
    <t>RFQ</t>
  </si>
  <si>
    <t>N/A</t>
  </si>
  <si>
    <t>Sample</t>
  </si>
  <si>
    <t>Tour/Audit</t>
  </si>
  <si>
    <t>Contracted</t>
  </si>
  <si>
    <t>Qualifying</t>
  </si>
  <si>
    <t>Parked</t>
  </si>
  <si>
    <t>Brand my Bags</t>
  </si>
  <si>
    <t>FLEX-D-008</t>
  </si>
  <si>
    <t>Impackt</t>
  </si>
  <si>
    <t>ASUWANT PACKAGING</t>
  </si>
  <si>
    <t>Jiang Men</t>
  </si>
  <si>
    <t>International Rotogravure + Paper Box</t>
  </si>
  <si>
    <t>BowePack (Guangdong Bowe Packaging)</t>
  </si>
  <si>
    <t>Wellfapack (Shantou Wellfa)</t>
  </si>
  <si>
    <t>Gozen Packaging</t>
  </si>
  <si>
    <t>Qiyu Pack</t>
  </si>
  <si>
    <t>Saigon Trapaco</t>
  </si>
  <si>
    <t>Ngai Mee Packaging Vietnam</t>
  </si>
  <si>
    <t>Amiba</t>
  </si>
  <si>
    <t>SIVICO JSC</t>
  </si>
  <si>
    <t>Website</t>
  </si>
  <si>
    <t>https://bowepack.com/</t>
  </si>
  <si>
    <t>https://wellfapack.com/about-shantou-wellfa-print-pack-co-ltd/</t>
  </si>
  <si>
    <t>https://www.gozenpackaging.com/pcr-packaging-bags/</t>
  </si>
  <si>
    <t>https://qiyupack.com/</t>
  </si>
  <si>
    <t>https://saigontrapaco.com.vn/vi/index.html</t>
  </si>
  <si>
    <t>https://ngaimee.com/</t>
  </si>
  <si>
    <t>https://amibapack.com/en/product/tui-dung-2/</t>
  </si>
  <si>
    <t>https://www.sivico.com.vn/en/contact.html</t>
  </si>
  <si>
    <t>Yunfu City, Guangdong</t>
  </si>
  <si>
    <t>Shantou, Guangdong</t>
  </si>
  <si>
    <t>Ho Chi Minh City area</t>
  </si>
  <si>
    <t>Hai Phong</t>
  </si>
  <si>
    <t>https://www.lauterbachgroup.com/</t>
  </si>
  <si>
    <t>Lauterbach Group</t>
  </si>
  <si>
    <t>The Pouch House</t>
  </si>
  <si>
    <t>https://www.thepouchhouse.com/</t>
  </si>
  <si>
    <t>US-MN</t>
  </si>
  <si>
    <t>FLEX-I-005</t>
  </si>
  <si>
    <t>FLEX-I-006</t>
  </si>
  <si>
    <t>FLEX-I-007</t>
  </si>
  <si>
    <t>FLEX-I-008</t>
  </si>
  <si>
    <t>FLEX-I-009</t>
  </si>
  <si>
    <t>FLEX-I-010</t>
  </si>
  <si>
    <t>FLEX-I-011</t>
  </si>
  <si>
    <t>FLEX-D-009</t>
  </si>
  <si>
    <t>Digital /Flexo / Roto</t>
  </si>
  <si>
    <t>Flexographic</t>
  </si>
  <si>
    <t>Digital</t>
  </si>
  <si>
    <t>Rotogravure</t>
  </si>
  <si>
    <t>Digital / Rotogravure</t>
  </si>
  <si>
    <t>http://dgbpack.com/Cases.html</t>
  </si>
  <si>
    <t>https://www.asuwantpackaging.com/</t>
  </si>
  <si>
    <t>https://brandmybags.com/</t>
  </si>
  <si>
    <t>Yiwu Sucheng Packaging</t>
  </si>
  <si>
    <t>ZAAM INTERNATIONAL CO., LTD</t>
  </si>
  <si>
    <t>TUBE-I-003</t>
  </si>
  <si>
    <t>Maybe Broker?</t>
  </si>
  <si>
    <t>https://jk-packaging.com/</t>
  </si>
  <si>
    <t>TUBE-I-004</t>
  </si>
  <si>
    <t>JK Packaging</t>
  </si>
  <si>
    <t>https://www.dwplastic.com/</t>
  </si>
  <si>
    <t>TUBE-I-005</t>
  </si>
  <si>
    <t>Dewei Plastics</t>
  </si>
  <si>
    <t>Not Contacted</t>
  </si>
  <si>
    <t>In Process</t>
  </si>
  <si>
    <t>Early Conversations</t>
  </si>
  <si>
    <t>Different Scope/ Not Contacted</t>
  </si>
  <si>
    <t>Dongguan Lianglvfang</t>
  </si>
  <si>
    <t>Dongguan Xinyu Tin Can</t>
  </si>
  <si>
    <t>Foshan Yuelida Metal Cap</t>
  </si>
  <si>
    <t>Paulin Vina</t>
  </si>
  <si>
    <t>Dongguan Fuyang Printing</t>
  </si>
  <si>
    <t>TaPuMei Printing</t>
  </si>
  <si>
    <t>Intramedia Dongguan</t>
  </si>
  <si>
    <t>Intramedia Minh Duc</t>
  </si>
  <si>
    <t>Putian Jusheng Packing</t>
  </si>
  <si>
    <t>Zhongshan Daqian Display</t>
  </si>
  <si>
    <t>Ningbo Brothers Printing</t>
  </si>
  <si>
    <t>Dongguan Xueliang Packaging</t>
  </si>
  <si>
    <t>Wave Sprint</t>
  </si>
  <si>
    <t>NDA Date</t>
  </si>
  <si>
    <t>MSA Date</t>
  </si>
  <si>
    <t>Factory Tour Date</t>
  </si>
  <si>
    <t>RFQ Sent</t>
  </si>
  <si>
    <t>Quote Received</t>
  </si>
  <si>
    <t>Quoted Price</t>
  </si>
  <si>
    <t>Target Price</t>
  </si>
  <si>
    <t>Price vs Target %</t>
  </si>
  <si>
    <t>Deposit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</si>
</sst>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6"/>
      <color rgb="FF0033A1"/>
      <name val="Arial"/>
      <family val="2"/>
    </font>
    <font>
      <i/>
      <sz val="9"/>
      <color rgb="FF4D4D4D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33A1"/>
      </patternFill>
    </fill>
    <fill>
      <patternFill patternType="solid">
        <fgColor rgb="FFF1F2F2"/>
      </patternFill>
    </fill>
    <fill>
      <patternFill patternType="solid">
        <fgColor rgb="FFDBE6FF"/>
      </patternFill>
    </fill>
  </fills>
  <borders count="2">
    <border>
      <left/>
      <right/>
      <top/>
      <bottom/>
      <diagonal/>
    </border>
    <border>
      <left style="thin">
        <color rgb="FFD1D3D4"/>
      </left>
      <right style="thin">
        <color rgb="FFD1D3D4"/>
      </right>
      <top style="thin">
        <color rgb="FFD1D3D4"/>
      </top>
      <bottom style="thin">
        <color rgb="FFD1D3D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wrapText="1"/>
    </xf>
    <xf numFmtId="0" fontId="5" fillId="2" borderId="0" xfId="0" applyFont="1" applyFill="1"/>
    <xf numFmtId="0" fontId="5" fillId="2" borderId="0" xfId="0" applyFont="1" applyFill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top" wrapText="1"/>
    </xf>
    <xf numFmtId="164" fontId="3" fillId="3" borderId="1" xfId="0" applyNumberFormat="1" applyFont="1" applyFill="1" applyBorder="1" applyAlignment="1">
      <alignment vertical="top" wrapText="1"/>
    </xf>
    <xf numFmtId="0" fontId="3" fillId="0" borderId="1" xfId="0" applyFont="1" applyBorder="1"/>
    <xf numFmtId="164" fontId="3" fillId="0" borderId="1" xfId="0" applyNumberFormat="1" applyFont="1" applyBorder="1"/>
    <xf numFmtId="9" fontId="3" fillId="0" borderId="1" xfId="0" applyNumberFormat="1" applyFont="1" applyBorder="1" applyAlignment="1">
      <alignment vertical="top" wrapText="1"/>
    </xf>
    <xf numFmtId="0" fontId="4" fillId="4" borderId="1" xfId="0" applyFont="1" applyFill="1" applyBorder="1"/>
    <xf numFmtId="9" fontId="4" fillId="4" borderId="1" xfId="0" applyNumberFormat="1" applyFont="1" applyFill="1" applyBorder="1"/>
    <xf numFmtId="0" fontId="2" fillId="0" borderId="0" xfId="0" applyFont="1"/>
    <xf numFmtId="0" fontId="0" fillId="0" borderId="0" xfId="0"/>
    <xf numFmtId="0" fontId="1" fillId="0" borderId="0" xfId="0" applyFont="1"/>
    <xf numFmtId="0" fontId="6" fillId="3" borderId="1" xfId="1" applyFill="1" applyBorder="1" applyAlignment="1">
      <alignment vertical="top" wrapTex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14" fontId="3" fillId="3" borderId="1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dgbpack.com/Cas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26" customWidth="1"/>
    <col min="2" max="2" width="110" customWidth="1"/>
  </cols>
  <sheetData>
    <row r="1" spans="1:6" ht="20" x14ac:dyDescent="0.2">
      <c r="A1" s="25" t="s">
        <v>0</v>
      </c>
      <c r="B1" s="24"/>
      <c r="C1" s="24"/>
      <c r="D1" s="24"/>
      <c r="E1" s="24"/>
      <c r="F1" s="24"/>
    </row>
    <row r="2" spans="1:6" x14ac:dyDescent="0.2">
      <c r="A2" s="23" t="s">
        <v>1</v>
      </c>
      <c r="B2" s="24"/>
      <c r="C2" s="24"/>
      <c r="D2" s="24"/>
      <c r="E2" s="24"/>
      <c r="F2" s="24"/>
    </row>
    <row r="4" spans="1:6" x14ac:dyDescent="0.2">
      <c r="A4" s="1"/>
      <c r="B4" s="2"/>
    </row>
    <row r="5" spans="1:6" x14ac:dyDescent="0.2">
      <c r="A5" s="3" t="s">
        <v>2</v>
      </c>
      <c r="B5" s="4" t="s">
        <v>3</v>
      </c>
    </row>
    <row r="6" spans="1:6" x14ac:dyDescent="0.2">
      <c r="A6" s="5" t="s">
        <v>4</v>
      </c>
      <c r="B6" s="2" t="s">
        <v>5</v>
      </c>
    </row>
    <row r="7" spans="1:6" x14ac:dyDescent="0.2">
      <c r="A7" s="5" t="s">
        <v>6</v>
      </c>
      <c r="B7" s="2" t="s">
        <v>7</v>
      </c>
    </row>
    <row r="8" spans="1:6" x14ac:dyDescent="0.2">
      <c r="A8" s="5" t="s">
        <v>8</v>
      </c>
      <c r="B8" s="2" t="s">
        <v>9</v>
      </c>
    </row>
    <row r="9" spans="1:6" x14ac:dyDescent="0.2">
      <c r="A9" s="5" t="s">
        <v>10</v>
      </c>
      <c r="B9" s="2" t="s">
        <v>11</v>
      </c>
    </row>
    <row r="10" spans="1:6" x14ac:dyDescent="0.2">
      <c r="A10" s="5" t="s">
        <v>12</v>
      </c>
      <c r="B10" s="2" t="s">
        <v>13</v>
      </c>
    </row>
    <row r="11" spans="1:6" x14ac:dyDescent="0.2">
      <c r="A11" s="5" t="s">
        <v>14</v>
      </c>
      <c r="B11" s="2" t="s">
        <v>15</v>
      </c>
    </row>
    <row r="12" spans="1:6" x14ac:dyDescent="0.2">
      <c r="A12" s="5" t="s">
        <v>16</v>
      </c>
      <c r="B12" s="2" t="s">
        <v>17</v>
      </c>
    </row>
    <row r="13" spans="1:6" x14ac:dyDescent="0.2">
      <c r="A13" s="1"/>
      <c r="B13" s="2"/>
    </row>
    <row r="14" spans="1:6" ht="28" x14ac:dyDescent="0.2">
      <c r="A14" s="5" t="s">
        <v>18</v>
      </c>
      <c r="B14" s="2" t="s">
        <v>19</v>
      </c>
    </row>
    <row r="15" spans="1:6" x14ac:dyDescent="0.2">
      <c r="A15" s="5" t="s">
        <v>20</v>
      </c>
      <c r="B15" s="2" t="s">
        <v>21</v>
      </c>
    </row>
    <row r="16" spans="1:6" x14ac:dyDescent="0.2">
      <c r="A16" s="5" t="s">
        <v>22</v>
      </c>
      <c r="B16" s="2" t="s">
        <v>23</v>
      </c>
    </row>
    <row r="17" spans="1:2" x14ac:dyDescent="0.2">
      <c r="A17" s="5" t="s">
        <v>24</v>
      </c>
      <c r="B17" s="2" t="s">
        <v>25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zoomScale="150" zoomScaleNormal="150" workbookViewId="0">
      <pane ySplit="4" topLeftCell="A5" activePane="bottomLeft" state="frozen"/>
      <selection pane="bottomLeft" activeCell="C14" sqref="C14"/>
    </sheetView>
  </sheetViews>
  <sheetFormatPr baseColWidth="10" defaultColWidth="8.83203125" defaultRowHeight="15" x14ac:dyDescent="0.2"/>
  <cols>
    <col min="1" max="1" width="34" customWidth="1"/>
    <col min="2" max="2" width="40" customWidth="1"/>
    <col min="3" max="3" width="22" customWidth="1"/>
    <col min="4" max="4" width="30" customWidth="1"/>
    <col min="5" max="5" width="20" customWidth="1"/>
    <col min="6" max="6" width="44" customWidth="1"/>
  </cols>
  <sheetData>
    <row r="1" spans="1:6" ht="20" x14ac:dyDescent="0.2">
      <c r="A1" s="25" t="s">
        <v>26</v>
      </c>
      <c r="B1" s="24"/>
      <c r="C1" s="24"/>
      <c r="D1" s="24"/>
      <c r="E1" s="24"/>
      <c r="F1" s="24"/>
    </row>
    <row r="2" spans="1:6" x14ac:dyDescent="0.2">
      <c r="A2" s="23" t="s">
        <v>27</v>
      </c>
      <c r="B2" s="24"/>
      <c r="C2" s="24"/>
      <c r="D2" s="24"/>
      <c r="E2" s="24"/>
      <c r="F2" s="24"/>
    </row>
    <row r="4" spans="1:6" x14ac:dyDescent="0.2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</row>
    <row r="5" spans="1:6" ht="28" x14ac:dyDescent="0.2">
      <c r="A5" s="7" t="s">
        <v>34</v>
      </c>
      <c r="B5" s="8" t="s">
        <v>35</v>
      </c>
      <c r="C5" s="8" t="s">
        <v>36</v>
      </c>
      <c r="D5" s="8" t="s">
        <v>37</v>
      </c>
      <c r="E5" s="8" t="s">
        <v>38</v>
      </c>
      <c r="F5" s="8" t="s">
        <v>39</v>
      </c>
    </row>
    <row r="6" spans="1:6" x14ac:dyDescent="0.2">
      <c r="A6" s="9" t="s">
        <v>40</v>
      </c>
      <c r="B6" s="10" t="s">
        <v>41</v>
      </c>
      <c r="C6" s="10" t="s">
        <v>42</v>
      </c>
      <c r="D6" s="10" t="s">
        <v>43</v>
      </c>
      <c r="E6" s="10" t="s">
        <v>44</v>
      </c>
      <c r="F6" s="10" t="s">
        <v>45</v>
      </c>
    </row>
    <row r="7" spans="1:6" ht="28" x14ac:dyDescent="0.2">
      <c r="A7" s="7" t="s">
        <v>46</v>
      </c>
      <c r="B7" s="8" t="s">
        <v>47</v>
      </c>
      <c r="C7" s="8" t="s">
        <v>48</v>
      </c>
      <c r="D7" s="8" t="s">
        <v>49</v>
      </c>
      <c r="E7" s="8" t="s">
        <v>50</v>
      </c>
      <c r="F7" s="8" t="s">
        <v>51</v>
      </c>
    </row>
    <row r="8" spans="1:6" x14ac:dyDescent="0.2">
      <c r="A8" s="9" t="s">
        <v>52</v>
      </c>
      <c r="B8" s="10" t="s">
        <v>53</v>
      </c>
      <c r="C8" s="10" t="s">
        <v>54</v>
      </c>
      <c r="D8" s="10" t="s">
        <v>48</v>
      </c>
      <c r="E8" s="10" t="s">
        <v>55</v>
      </c>
      <c r="F8" s="10" t="s">
        <v>56</v>
      </c>
    </row>
    <row r="9" spans="1:6" x14ac:dyDescent="0.2">
      <c r="A9" s="7" t="s">
        <v>57</v>
      </c>
      <c r="B9" s="8" t="s">
        <v>58</v>
      </c>
      <c r="C9" s="8" t="s">
        <v>59</v>
      </c>
      <c r="D9" s="8" t="s">
        <v>60</v>
      </c>
      <c r="E9" s="8" t="s">
        <v>61</v>
      </c>
      <c r="F9" s="8" t="s">
        <v>62</v>
      </c>
    </row>
    <row r="10" spans="1:6" ht="28" x14ac:dyDescent="0.2">
      <c r="A10" s="9" t="s">
        <v>63</v>
      </c>
      <c r="B10" s="10" t="s">
        <v>64</v>
      </c>
      <c r="C10" s="10" t="s">
        <v>54</v>
      </c>
      <c r="D10" s="10" t="s">
        <v>65</v>
      </c>
      <c r="E10" s="10" t="s">
        <v>66</v>
      </c>
      <c r="F10" s="10" t="s">
        <v>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showGridLines="0" zoomScale="150" zoomScaleNormal="150" workbookViewId="0">
      <pane ySplit="4" topLeftCell="A5" activePane="bottomLeft" state="frozen"/>
      <selection pane="bottomLeft" activeCell="C17" sqref="C17"/>
    </sheetView>
  </sheetViews>
  <sheetFormatPr baseColWidth="10" defaultColWidth="8.83203125" defaultRowHeight="15" x14ac:dyDescent="0.2"/>
  <cols>
    <col min="1" max="1" width="5" customWidth="1"/>
    <col min="2" max="2" width="14" customWidth="1"/>
    <col min="3" max="4" width="44" customWidth="1"/>
    <col min="5" max="5" width="15" customWidth="1"/>
    <col min="6" max="6" width="44" customWidth="1"/>
  </cols>
  <sheetData>
    <row r="1" spans="1:6" ht="20" x14ac:dyDescent="0.2">
      <c r="A1" s="25" t="s">
        <v>68</v>
      </c>
      <c r="B1" s="24"/>
      <c r="C1" s="24"/>
      <c r="D1" s="24"/>
      <c r="E1" s="24"/>
      <c r="F1" s="24"/>
    </row>
    <row r="2" spans="1:6" x14ac:dyDescent="0.2">
      <c r="A2" s="23" t="s">
        <v>69</v>
      </c>
      <c r="B2" s="24"/>
      <c r="C2" s="24"/>
      <c r="D2" s="24"/>
      <c r="E2" s="24"/>
      <c r="F2" s="24"/>
    </row>
    <row r="4" spans="1:6" x14ac:dyDescent="0.2">
      <c r="A4" s="6" t="s">
        <v>70</v>
      </c>
      <c r="B4" s="6" t="s">
        <v>71</v>
      </c>
      <c r="C4" s="6" t="s">
        <v>30</v>
      </c>
      <c r="D4" s="6" t="s">
        <v>31</v>
      </c>
      <c r="E4" s="6" t="s">
        <v>72</v>
      </c>
      <c r="F4" s="6" t="s">
        <v>73</v>
      </c>
    </row>
    <row r="5" spans="1:6" ht="28" x14ac:dyDescent="0.2">
      <c r="A5" s="11" t="s">
        <v>74</v>
      </c>
      <c r="B5" s="8" t="s">
        <v>75</v>
      </c>
      <c r="C5" s="8" t="s">
        <v>76</v>
      </c>
      <c r="D5" s="8" t="s">
        <v>77</v>
      </c>
      <c r="E5" s="12" t="s">
        <v>74</v>
      </c>
      <c r="F5" s="8" t="s">
        <v>78</v>
      </c>
    </row>
    <row r="6" spans="1:6" ht="28" x14ac:dyDescent="0.2">
      <c r="A6" s="11" t="s">
        <v>79</v>
      </c>
      <c r="B6" s="8" t="s">
        <v>80</v>
      </c>
      <c r="C6" s="8" t="s">
        <v>81</v>
      </c>
      <c r="D6" s="8" t="s">
        <v>82</v>
      </c>
      <c r="E6" s="12" t="s">
        <v>74</v>
      </c>
      <c r="F6" s="8" t="s">
        <v>83</v>
      </c>
    </row>
    <row r="7" spans="1:6" x14ac:dyDescent="0.2">
      <c r="A7" s="13" t="s">
        <v>84</v>
      </c>
      <c r="B7" s="14" t="s">
        <v>85</v>
      </c>
      <c r="C7" s="14" t="s">
        <v>86</v>
      </c>
      <c r="D7" s="14" t="s">
        <v>87</v>
      </c>
      <c r="E7" s="15" t="s">
        <v>88</v>
      </c>
      <c r="F7" s="14" t="s">
        <v>89</v>
      </c>
    </row>
    <row r="8" spans="1:6" ht="28" x14ac:dyDescent="0.2">
      <c r="A8" s="11" t="s">
        <v>88</v>
      </c>
      <c r="B8" s="8" t="s">
        <v>90</v>
      </c>
      <c r="C8" s="8" t="s">
        <v>91</v>
      </c>
      <c r="D8" s="8" t="s">
        <v>92</v>
      </c>
      <c r="E8" s="12" t="s">
        <v>88</v>
      </c>
      <c r="F8" s="8" t="s">
        <v>93</v>
      </c>
    </row>
    <row r="9" spans="1:6" x14ac:dyDescent="0.2">
      <c r="A9" s="13" t="s">
        <v>94</v>
      </c>
      <c r="B9" s="14" t="s">
        <v>95</v>
      </c>
      <c r="C9" s="14" t="s">
        <v>96</v>
      </c>
      <c r="D9" s="14" t="s">
        <v>97</v>
      </c>
      <c r="E9" s="15" t="s">
        <v>98</v>
      </c>
      <c r="F9" s="14" t="s">
        <v>99</v>
      </c>
    </row>
    <row r="10" spans="1:6" x14ac:dyDescent="0.2">
      <c r="A10" s="11" t="s">
        <v>100</v>
      </c>
      <c r="B10" s="8" t="s">
        <v>101</v>
      </c>
      <c r="C10" s="8" t="s">
        <v>102</v>
      </c>
      <c r="D10" s="8" t="s">
        <v>103</v>
      </c>
      <c r="E10" s="12" t="s">
        <v>98</v>
      </c>
      <c r="F10" s="8" t="s">
        <v>104</v>
      </c>
    </row>
    <row r="11" spans="1:6" x14ac:dyDescent="0.2">
      <c r="A11" s="11" t="s">
        <v>105</v>
      </c>
      <c r="B11" s="8" t="s">
        <v>106</v>
      </c>
      <c r="C11" s="8" t="s">
        <v>107</v>
      </c>
      <c r="D11" s="8" t="s">
        <v>108</v>
      </c>
      <c r="E11" s="12" t="s">
        <v>109</v>
      </c>
      <c r="F11" s="8" t="s">
        <v>110</v>
      </c>
    </row>
    <row r="12" spans="1:6" x14ac:dyDescent="0.2">
      <c r="A12" s="13" t="s">
        <v>111</v>
      </c>
      <c r="B12" s="14" t="s">
        <v>112</v>
      </c>
      <c r="C12" s="14" t="s">
        <v>113</v>
      </c>
      <c r="D12" s="14" t="s">
        <v>114</v>
      </c>
      <c r="E12" s="15" t="s">
        <v>115</v>
      </c>
      <c r="F12" s="14" t="s">
        <v>116</v>
      </c>
    </row>
    <row r="13" spans="1:6" ht="28" x14ac:dyDescent="0.2">
      <c r="A13" s="13" t="s">
        <v>117</v>
      </c>
      <c r="B13" s="14" t="s">
        <v>118</v>
      </c>
      <c r="C13" s="14" t="s">
        <v>119</v>
      </c>
      <c r="D13" s="14" t="s">
        <v>120</v>
      </c>
      <c r="E13" s="15" t="s">
        <v>121</v>
      </c>
      <c r="F13" s="14" t="s">
        <v>122</v>
      </c>
    </row>
    <row r="14" spans="1:6" x14ac:dyDescent="0.2">
      <c r="A14" s="11" t="s">
        <v>98</v>
      </c>
      <c r="B14" s="8" t="s">
        <v>123</v>
      </c>
      <c r="C14" s="8" t="s">
        <v>124</v>
      </c>
      <c r="D14" s="8" t="s">
        <v>125</v>
      </c>
      <c r="E14" s="12" t="s">
        <v>121</v>
      </c>
      <c r="F14" s="8" t="s">
        <v>126</v>
      </c>
    </row>
    <row r="15" spans="1:6" x14ac:dyDescent="0.2">
      <c r="A15" s="11" t="s">
        <v>127</v>
      </c>
      <c r="B15" s="8" t="s">
        <v>128</v>
      </c>
      <c r="C15" s="8" t="s">
        <v>129</v>
      </c>
      <c r="D15" s="8" t="s">
        <v>130</v>
      </c>
      <c r="E15" s="12" t="s">
        <v>131</v>
      </c>
      <c r="F15" s="8" t="s">
        <v>132</v>
      </c>
    </row>
    <row r="16" spans="1:6" x14ac:dyDescent="0.2">
      <c r="A16" s="13" t="s">
        <v>133</v>
      </c>
      <c r="B16" s="14" t="s">
        <v>134</v>
      </c>
      <c r="C16" s="14" t="s">
        <v>135</v>
      </c>
      <c r="D16" s="14" t="s">
        <v>136</v>
      </c>
      <c r="E16" s="15" t="s">
        <v>137</v>
      </c>
      <c r="F16" s="14" t="s">
        <v>138</v>
      </c>
    </row>
    <row r="17" spans="1:6" x14ac:dyDescent="0.2">
      <c r="A17" s="13" t="s">
        <v>139</v>
      </c>
      <c r="B17" s="14" t="s">
        <v>140</v>
      </c>
      <c r="C17" s="14" t="s">
        <v>141</v>
      </c>
      <c r="D17" s="14" t="s">
        <v>142</v>
      </c>
      <c r="E17" s="15" t="s">
        <v>143</v>
      </c>
      <c r="F17" s="14" t="s">
        <v>144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0"/>
  <sheetViews>
    <sheetView showGridLines="0" tabSelected="1" zoomScale="150" zoomScaleNormal="150" workbookViewId="0">
      <pane xSplit="4" ySplit="4" topLeftCell="E5" activePane="bottomRight" state="frozen"/>
      <selection pane="topRight"/>
      <selection pane="bottomLeft"/>
      <selection pane="bottomRight" activeCell="C7" sqref="C7"/>
    </sheetView>
  </sheetViews>
  <sheetFormatPr baseColWidth="10" defaultColWidth="8.83203125" defaultRowHeight="15" x14ac:dyDescent="0.2"/>
  <cols>
    <col min="2" max="2" width="14" customWidth="1"/>
    <col min="3" max="3" width="17.83203125" bestFit="1" customWidth="1"/>
    <col min="4" max="4" width="34.33203125" bestFit="1" customWidth="1"/>
    <col min="5" max="5" width="30" customWidth="1"/>
    <col min="6" max="6" width="49.1640625" bestFit="1" customWidth="1"/>
    <col min="7" max="7" width="13" customWidth="1"/>
    <col min="8" max="8" width="9" customWidth="1"/>
    <col min="9" max="9" width="19.6640625" bestFit="1" customWidth="1"/>
    <col min="10" max="10" width="22.1640625" customWidth="1"/>
    <col min="11" max="11" width="42.1640625" customWidth="1"/>
    <col min="12" max="12" width="6" customWidth="1"/>
    <col min="13" max="13" width="13" customWidth="1"/>
    <col min="14" max="16" width="11" customWidth="1"/>
    <col min="17" max="18" width="12" customWidth="1"/>
    <col min="19" max="19" width="16" customWidth="1"/>
    <col min="20" max="20" width="14" customWidth="1"/>
    <col min="21" max="21" width="11" customWidth="1"/>
    <col min="22" max="22" width="13" customWidth="1"/>
    <col min="23" max="24" width="12" customWidth="1"/>
    <col min="25" max="25" width="14" customWidth="1"/>
    <col min="26" max="26" width="8" customWidth="1"/>
    <col min="27" max="27" width="10" customWidth="1"/>
    <col min="28" max="32" width="12" customWidth="1"/>
    <col min="33" max="34" width="14" customWidth="1"/>
    <col min="35" max="35" width="11" customWidth="1"/>
    <col min="36" max="36" width="13" customWidth="1"/>
    <col min="37" max="37" width="11" customWidth="1"/>
    <col min="38" max="38" width="24" customWidth="1"/>
    <col min="39" max="39" width="14" customWidth="1"/>
  </cols>
  <sheetData>
    <row r="1" spans="1:39" ht="20" x14ac:dyDescent="0.2">
      <c r="B1" s="27" t="s">
        <v>145</v>
      </c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</row>
    <row r="2" spans="1:39" x14ac:dyDescent="0.2">
      <c r="B2" s="29" t="s">
        <v>146</v>
      </c>
      <c r="C2" s="29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</row>
    <row r="4" spans="1:39" ht="28" x14ac:dyDescent="0.2">
      <c r="B4" s="6" t="s">
        <v>147</v>
      </c>
      <c r="C4" s="6" t="s">
        <v>428</v>
      </c>
      <c r="D4" s="6" t="s">
        <v>148</v>
      </c>
      <c r="E4" s="6" t="s">
        <v>318</v>
      </c>
      <c r="F4" s="6" t="s">
        <v>402</v>
      </c>
      <c r="G4" s="6" t="s">
        <v>149</v>
      </c>
      <c r="H4" s="6" t="s">
        <v>150</v>
      </c>
      <c r="I4" s="6" t="s">
        <v>151</v>
      </c>
      <c r="J4" s="6" t="s">
        <v>152</v>
      </c>
      <c r="K4" s="6" t="s">
        <v>153</v>
      </c>
      <c r="L4" s="6" t="s">
        <v>154</v>
      </c>
      <c r="M4" s="6" t="s">
        <v>155</v>
      </c>
      <c r="N4" s="6" t="s">
        <v>156</v>
      </c>
      <c r="O4" s="6" t="s">
        <v>157</v>
      </c>
      <c r="P4" s="6" t="s">
        <v>462</v>
      </c>
      <c r="Q4" s="6" t="s">
        <v>463</v>
      </c>
      <c r="R4" s="6" t="s">
        <v>464</v>
      </c>
      <c r="S4" s="6" t="s">
        <v>369</v>
      </c>
      <c r="T4" s="6" t="s">
        <v>465</v>
      </c>
      <c r="U4" s="6" t="s">
        <v>466</v>
      </c>
      <c r="V4" s="6" t="s">
        <v>467</v>
      </c>
      <c r="W4" s="6" t="s">
        <v>468</v>
      </c>
      <c r="X4" s="6" t="s">
        <v>469</v>
      </c>
      <c r="Y4" s="6" t="s">
        <v>470</v>
      </c>
      <c r="Z4" s="6" t="s">
        <v>159</v>
      </c>
      <c r="AA4" s="6" t="s">
        <v>471</v>
      </c>
      <c r="AB4" s="6" t="s">
        <v>160</v>
      </c>
      <c r="AC4" s="6" t="s">
        <v>161</v>
      </c>
      <c r="AD4" s="6" t="s">
        <v>162</v>
      </c>
      <c r="AE4" s="6" t="s">
        <v>163</v>
      </c>
      <c r="AF4" s="6" t="s">
        <v>164</v>
      </c>
      <c r="AG4" s="6" t="s">
        <v>165</v>
      </c>
      <c r="AH4" s="6" t="s">
        <v>166</v>
      </c>
      <c r="AI4" s="6" t="s">
        <v>167</v>
      </c>
      <c r="AJ4" s="6" t="s">
        <v>168</v>
      </c>
      <c r="AK4" s="6" t="s">
        <v>169</v>
      </c>
      <c r="AL4" s="6" t="s">
        <v>170</v>
      </c>
      <c r="AM4" s="6" t="s">
        <v>171</v>
      </c>
    </row>
    <row r="5" spans="1:39" x14ac:dyDescent="0.2">
      <c r="A5">
        <v>1</v>
      </c>
      <c r="B5" s="8" t="s">
        <v>173</v>
      </c>
      <c r="C5" s="8" t="s">
        <v>429</v>
      </c>
      <c r="D5" s="8" t="s">
        <v>174</v>
      </c>
      <c r="E5" s="8" t="s">
        <v>226</v>
      </c>
      <c r="F5" s="8"/>
      <c r="G5" s="8" t="s">
        <v>176</v>
      </c>
      <c r="H5" s="8" t="s">
        <v>177</v>
      </c>
      <c r="I5" s="8" t="s">
        <v>178</v>
      </c>
      <c r="J5" s="8" t="s">
        <v>179</v>
      </c>
      <c r="K5" s="8" t="s">
        <v>180</v>
      </c>
      <c r="L5" s="8" t="s">
        <v>181</v>
      </c>
      <c r="M5" s="8" t="s">
        <v>182</v>
      </c>
      <c r="N5" s="8" t="s">
        <v>183</v>
      </c>
      <c r="O5" s="8" t="s">
        <v>184</v>
      </c>
      <c r="P5" s="8" t="s">
        <v>185</v>
      </c>
      <c r="Q5" s="8"/>
      <c r="R5" s="8"/>
      <c r="S5" s="8"/>
      <c r="T5" s="8"/>
      <c r="U5" s="8"/>
      <c r="V5" s="8"/>
      <c r="W5" s="8"/>
      <c r="X5" s="8"/>
      <c r="Y5" s="16" t="str">
        <f>IF(OR(W5="",X5=""),"",(X5-W5)/X5)</f>
        <v/>
      </c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x14ac:dyDescent="0.2">
      <c r="A6">
        <v>1</v>
      </c>
      <c r="B6" s="10" t="s">
        <v>186</v>
      </c>
      <c r="C6" s="10" t="s">
        <v>430</v>
      </c>
      <c r="D6" s="10" t="s">
        <v>187</v>
      </c>
      <c r="E6" s="10" t="s">
        <v>226</v>
      </c>
      <c r="F6" s="10"/>
      <c r="G6" s="10" t="s">
        <v>176</v>
      </c>
      <c r="H6" s="10" t="s">
        <v>177</v>
      </c>
      <c r="I6" s="10" t="s">
        <v>188</v>
      </c>
      <c r="J6" s="10" t="s">
        <v>189</v>
      </c>
      <c r="K6" s="10" t="s">
        <v>190</v>
      </c>
      <c r="L6" s="10" t="s">
        <v>191</v>
      </c>
      <c r="M6" s="10" t="s">
        <v>192</v>
      </c>
      <c r="N6" s="10" t="s">
        <v>183</v>
      </c>
      <c r="O6" s="10" t="s">
        <v>184</v>
      </c>
      <c r="P6" s="10" t="s">
        <v>185</v>
      </c>
      <c r="Q6" s="10"/>
      <c r="R6" s="10"/>
      <c r="S6" s="10"/>
      <c r="T6" s="10"/>
      <c r="U6" s="10"/>
      <c r="V6" s="10"/>
      <c r="W6" s="10"/>
      <c r="X6" s="10"/>
      <c r="Y6" s="17" t="str">
        <f>IF(OR(W6="",X6=""),"",(X6-W6)/X6)</f>
        <v/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</row>
    <row r="7" spans="1:39" x14ac:dyDescent="0.2">
      <c r="A7">
        <v>1</v>
      </c>
      <c r="B7" s="8" t="s">
        <v>204</v>
      </c>
      <c r="C7" s="8" t="s">
        <v>429</v>
      </c>
      <c r="D7" s="8" t="s">
        <v>205</v>
      </c>
      <c r="E7" s="8" t="s">
        <v>226</v>
      </c>
      <c r="F7" s="8"/>
      <c r="G7" s="8" t="s">
        <v>176</v>
      </c>
      <c r="H7" s="8" t="s">
        <v>177</v>
      </c>
      <c r="I7" s="8" t="s">
        <v>206</v>
      </c>
      <c r="J7" s="8" t="s">
        <v>179</v>
      </c>
      <c r="K7" s="8" t="s">
        <v>207</v>
      </c>
      <c r="L7" s="8" t="s">
        <v>191</v>
      </c>
      <c r="M7" s="8" t="s">
        <v>192</v>
      </c>
      <c r="N7" s="8" t="s">
        <v>202</v>
      </c>
      <c r="O7" s="8" t="s">
        <v>184</v>
      </c>
      <c r="P7" s="8" t="s">
        <v>208</v>
      </c>
      <c r="Q7" s="8"/>
      <c r="R7" s="8"/>
      <c r="S7" s="8"/>
      <c r="T7" s="8"/>
      <c r="U7" s="8"/>
      <c r="V7" s="8"/>
      <c r="W7" s="8"/>
      <c r="X7" s="8"/>
      <c r="Y7" s="16" t="str">
        <f>IF(OR(W7="",X7=""),"",(X7-W7)/X7)</f>
        <v/>
      </c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x14ac:dyDescent="0.2">
      <c r="A8">
        <v>1</v>
      </c>
      <c r="B8" s="10" t="s">
        <v>209</v>
      </c>
      <c r="C8" s="10" t="s">
        <v>430</v>
      </c>
      <c r="D8" s="10" t="s">
        <v>210</v>
      </c>
      <c r="E8" s="10" t="s">
        <v>226</v>
      </c>
      <c r="F8" s="10"/>
      <c r="G8" s="10" t="s">
        <v>176</v>
      </c>
      <c r="H8" s="10" t="s">
        <v>177</v>
      </c>
      <c r="I8" s="10" t="s">
        <v>211</v>
      </c>
      <c r="J8" s="10" t="s">
        <v>189</v>
      </c>
      <c r="K8" s="10" t="s">
        <v>212</v>
      </c>
      <c r="L8" s="10" t="s">
        <v>201</v>
      </c>
      <c r="M8" s="10" t="s">
        <v>192</v>
      </c>
      <c r="N8" s="10" t="s">
        <v>202</v>
      </c>
      <c r="O8" s="10" t="s">
        <v>184</v>
      </c>
      <c r="P8" s="10" t="s">
        <v>208</v>
      </c>
      <c r="Q8" s="10"/>
      <c r="R8" s="10"/>
      <c r="S8" s="10"/>
      <c r="T8" s="10"/>
      <c r="U8" s="10"/>
      <c r="V8" s="10"/>
      <c r="W8" s="10"/>
      <c r="X8" s="10"/>
      <c r="Y8" s="17" t="str">
        <f>IF(OR(W8="",X8=""),"",(X8-W8)/X8)</f>
        <v/>
      </c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x14ac:dyDescent="0.2">
      <c r="A9">
        <v>1</v>
      </c>
      <c r="B9" s="8" t="s">
        <v>227</v>
      </c>
      <c r="C9" s="8" t="s">
        <v>431</v>
      </c>
      <c r="D9" s="8" t="s">
        <v>228</v>
      </c>
      <c r="E9" s="8" t="s">
        <v>226</v>
      </c>
      <c r="F9" s="8"/>
      <c r="G9" s="8" t="s">
        <v>176</v>
      </c>
      <c r="H9" s="8" t="s">
        <v>177</v>
      </c>
      <c r="I9" s="8" t="s">
        <v>229</v>
      </c>
      <c r="J9" s="8" t="s">
        <v>230</v>
      </c>
      <c r="K9" s="8" t="s">
        <v>231</v>
      </c>
      <c r="L9" s="8" t="s">
        <v>181</v>
      </c>
      <c r="M9" s="8" t="s">
        <v>182</v>
      </c>
      <c r="N9" s="8" t="s">
        <v>202</v>
      </c>
      <c r="O9" s="8" t="s">
        <v>184</v>
      </c>
      <c r="P9" s="8" t="s">
        <v>232</v>
      </c>
      <c r="Q9" s="8"/>
      <c r="R9" s="8"/>
      <c r="S9" s="8"/>
      <c r="T9" s="8"/>
      <c r="U9" s="8"/>
      <c r="V9" s="8"/>
      <c r="W9" s="8"/>
      <c r="X9" s="8"/>
      <c r="Y9" s="16" t="str">
        <f>IF(OR(W9="",X9=""),"",(X9-W9)/X9)</f>
        <v/>
      </c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x14ac:dyDescent="0.2">
      <c r="A10">
        <v>1</v>
      </c>
      <c r="B10" s="10" t="s">
        <v>214</v>
      </c>
      <c r="C10" s="10" t="s">
        <v>431</v>
      </c>
      <c r="D10" s="10" t="s">
        <v>215</v>
      </c>
      <c r="E10" s="10" t="s">
        <v>226</v>
      </c>
      <c r="F10" s="10"/>
      <c r="G10" s="10" t="s">
        <v>196</v>
      </c>
      <c r="H10" s="10" t="s">
        <v>197</v>
      </c>
      <c r="I10" s="10" t="s">
        <v>198</v>
      </c>
      <c r="J10" s="10" t="s">
        <v>216</v>
      </c>
      <c r="K10" s="10" t="s">
        <v>217</v>
      </c>
      <c r="L10" s="10" t="s">
        <v>181</v>
      </c>
      <c r="M10" s="10" t="s">
        <v>182</v>
      </c>
      <c r="N10" s="10" t="s">
        <v>202</v>
      </c>
      <c r="O10" s="10" t="s">
        <v>203</v>
      </c>
      <c r="P10" s="10" t="s">
        <v>208</v>
      </c>
      <c r="Q10" s="10"/>
      <c r="R10" s="10"/>
      <c r="S10" s="10"/>
      <c r="T10" s="10"/>
      <c r="U10" s="10"/>
      <c r="V10" s="10"/>
      <c r="W10" s="10"/>
      <c r="X10" s="10"/>
      <c r="Y10" s="17" t="str">
        <f>IF(OR(W10="",X10=""),"",(X10-W10)/X10)</f>
        <v/>
      </c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</row>
    <row r="11" spans="1:39" x14ac:dyDescent="0.2">
      <c r="A11">
        <v>1</v>
      </c>
      <c r="B11" s="18" t="s">
        <v>193</v>
      </c>
      <c r="C11" s="18" t="s">
        <v>430</v>
      </c>
      <c r="D11" s="18" t="s">
        <v>416</v>
      </c>
      <c r="E11" s="18" t="s">
        <v>446</v>
      </c>
      <c r="F11" s="18" t="s">
        <v>415</v>
      </c>
      <c r="G11" s="18" t="s">
        <v>176</v>
      </c>
      <c r="H11" s="18" t="s">
        <v>177</v>
      </c>
      <c r="I11" s="18" t="s">
        <v>211</v>
      </c>
      <c r="J11" s="10" t="s">
        <v>189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9" t="str">
        <f>IF(OR(W11="",X11=""),"",(X11-W11)/X11)</f>
        <v/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x14ac:dyDescent="0.2">
      <c r="A12">
        <v>1</v>
      </c>
      <c r="B12" s="10" t="s">
        <v>213</v>
      </c>
      <c r="C12" s="10" t="s">
        <v>430</v>
      </c>
      <c r="D12" s="10" t="s">
        <v>388</v>
      </c>
      <c r="E12" s="10" t="s">
        <v>447</v>
      </c>
      <c r="F12" s="10" t="s">
        <v>435</v>
      </c>
      <c r="G12" s="10" t="s">
        <v>176</v>
      </c>
      <c r="H12" s="10" t="s">
        <v>177</v>
      </c>
      <c r="I12" s="10" t="s">
        <v>211</v>
      </c>
      <c r="J12" s="10" t="s">
        <v>189</v>
      </c>
      <c r="K12" s="10"/>
      <c r="L12" s="10"/>
      <c r="M12" s="10"/>
      <c r="N12" s="10"/>
      <c r="O12" s="10" t="s">
        <v>184</v>
      </c>
      <c r="P12" s="10" t="s">
        <v>185</v>
      </c>
      <c r="Q12" s="30">
        <v>46197</v>
      </c>
      <c r="R12" s="10"/>
      <c r="S12" s="10"/>
      <c r="T12" s="10"/>
      <c r="U12" s="10"/>
      <c r="V12" s="10"/>
      <c r="W12" s="10"/>
      <c r="X12" s="10"/>
      <c r="Y12" s="17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</row>
    <row r="13" spans="1:39" x14ac:dyDescent="0.2">
      <c r="A13">
        <v>1</v>
      </c>
      <c r="B13" s="10" t="s">
        <v>389</v>
      </c>
      <c r="C13" s="10" t="s">
        <v>430</v>
      </c>
      <c r="D13" s="10" t="s">
        <v>390</v>
      </c>
      <c r="E13" s="10" t="s">
        <v>447</v>
      </c>
      <c r="F13" s="10"/>
      <c r="G13" s="10" t="s">
        <v>176</v>
      </c>
      <c r="H13" s="10" t="s">
        <v>177</v>
      </c>
      <c r="I13" s="10" t="s">
        <v>178</v>
      </c>
      <c r="J13" s="10" t="s">
        <v>189</v>
      </c>
      <c r="K13" s="10"/>
      <c r="L13" s="10"/>
      <c r="M13" s="10"/>
      <c r="N13" s="10"/>
      <c r="O13" s="10" t="s">
        <v>184</v>
      </c>
      <c r="P13" s="10" t="s">
        <v>185</v>
      </c>
      <c r="Q13" s="10"/>
      <c r="R13" s="10"/>
      <c r="S13" s="10"/>
      <c r="T13" s="10"/>
      <c r="U13" s="10"/>
      <c r="V13" s="10"/>
      <c r="W13" s="10"/>
      <c r="X13" s="10"/>
      <c r="Y13" s="17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spans="1:39" x14ac:dyDescent="0.2">
      <c r="A14">
        <v>1</v>
      </c>
      <c r="B14" s="18" t="s">
        <v>427</v>
      </c>
      <c r="C14" s="18" t="s">
        <v>430</v>
      </c>
      <c r="D14" s="18" t="s">
        <v>417</v>
      </c>
      <c r="E14" s="18" t="s">
        <v>446</v>
      </c>
      <c r="F14" s="18" t="s">
        <v>418</v>
      </c>
      <c r="G14" s="18" t="s">
        <v>176</v>
      </c>
      <c r="H14" s="18" t="s">
        <v>177</v>
      </c>
      <c r="I14" s="18" t="s">
        <v>419</v>
      </c>
      <c r="J14" s="10" t="s">
        <v>189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9" t="str">
        <f>IF(OR(W14="",X14=""),"",(X14-W14)/X14)</f>
        <v/>
      </c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16" x14ac:dyDescent="0.2">
      <c r="A15">
        <v>1</v>
      </c>
      <c r="B15" s="10" t="s">
        <v>194</v>
      </c>
      <c r="C15" s="10" t="s">
        <v>431</v>
      </c>
      <c r="D15" s="10" t="s">
        <v>461</v>
      </c>
      <c r="E15" s="10" t="s">
        <v>446</v>
      </c>
      <c r="F15" s="26" t="s">
        <v>433</v>
      </c>
      <c r="G15" s="10" t="s">
        <v>196</v>
      </c>
      <c r="H15" s="10" t="s">
        <v>197</v>
      </c>
      <c r="I15" s="10" t="s">
        <v>198</v>
      </c>
      <c r="J15" s="10" t="s">
        <v>199</v>
      </c>
      <c r="K15" s="10" t="s">
        <v>200</v>
      </c>
      <c r="L15" s="10" t="s">
        <v>201</v>
      </c>
      <c r="M15" s="10" t="s">
        <v>192</v>
      </c>
      <c r="N15" s="10" t="s">
        <v>202</v>
      </c>
      <c r="O15" s="10" t="s">
        <v>203</v>
      </c>
      <c r="P15" s="10" t="s">
        <v>185</v>
      </c>
      <c r="Q15" s="10"/>
      <c r="R15" s="10"/>
      <c r="S15" s="10"/>
      <c r="T15" s="10"/>
      <c r="U15" s="10"/>
      <c r="V15" s="10"/>
      <c r="W15" s="10"/>
      <c r="X15" s="10"/>
      <c r="Y15" s="17" t="str">
        <f>IF(OR(W15="",X15=""),"",(X15-W15)/X15)</f>
        <v/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spans="1:39" x14ac:dyDescent="0.2">
      <c r="A16">
        <v>1</v>
      </c>
      <c r="B16" s="10" t="s">
        <v>218</v>
      </c>
      <c r="C16" s="18" t="s">
        <v>432</v>
      </c>
      <c r="D16" s="18" t="s">
        <v>394</v>
      </c>
      <c r="E16" s="18" t="s">
        <v>446</v>
      </c>
      <c r="F16" s="18" t="s">
        <v>403</v>
      </c>
      <c r="G16" s="10" t="s">
        <v>196</v>
      </c>
      <c r="H16" s="18" t="s">
        <v>197</v>
      </c>
      <c r="I16" s="18" t="s">
        <v>411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9" t="str">
        <f>IF(OR(W16="",X16=""),"",(X16-W16)/X16)</f>
        <v/>
      </c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x14ac:dyDescent="0.2">
      <c r="A17">
        <v>1</v>
      </c>
      <c r="B17" s="10" t="s">
        <v>220</v>
      </c>
      <c r="C17" s="18" t="s">
        <v>431</v>
      </c>
      <c r="D17" s="18" t="s">
        <v>395</v>
      </c>
      <c r="E17" s="18" t="s">
        <v>446</v>
      </c>
      <c r="F17" s="18" t="s">
        <v>404</v>
      </c>
      <c r="G17" s="10" t="s">
        <v>196</v>
      </c>
      <c r="H17" s="18" t="s">
        <v>197</v>
      </c>
      <c r="I17" s="18" t="s">
        <v>412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9" t="str">
        <f>IF(OR(W17="",X17=""),"",(X17-W17)/X17)</f>
        <v/>
      </c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x14ac:dyDescent="0.2">
      <c r="A18">
        <v>1</v>
      </c>
      <c r="B18" s="10" t="s">
        <v>420</v>
      </c>
      <c r="C18" s="18" t="s">
        <v>432</v>
      </c>
      <c r="D18" s="18" t="s">
        <v>396</v>
      </c>
      <c r="E18" s="18" t="s">
        <v>446</v>
      </c>
      <c r="F18" s="18" t="s">
        <v>405</v>
      </c>
      <c r="G18" s="10" t="s">
        <v>196</v>
      </c>
      <c r="H18" s="18" t="s">
        <v>197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9" t="str">
        <f>IF(OR(W18="",X18=""),"",(X18-W18)/X18)</f>
        <v/>
      </c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x14ac:dyDescent="0.2">
      <c r="A19">
        <v>1</v>
      </c>
      <c r="B19" s="10" t="s">
        <v>421</v>
      </c>
      <c r="C19" s="18" t="s">
        <v>431</v>
      </c>
      <c r="D19" s="18" t="s">
        <v>397</v>
      </c>
      <c r="E19" s="18" t="s">
        <v>446</v>
      </c>
      <c r="F19" s="18" t="s">
        <v>406</v>
      </c>
      <c r="G19" s="10" t="s">
        <v>196</v>
      </c>
      <c r="H19" s="18" t="s">
        <v>197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9" t="str">
        <f>IF(OR(W19="",X19=""),"",(X19-W19)/X19)</f>
        <v/>
      </c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x14ac:dyDescent="0.2">
      <c r="A20">
        <v>1</v>
      </c>
      <c r="B20" s="10" t="s">
        <v>422</v>
      </c>
      <c r="C20" s="18" t="s">
        <v>431</v>
      </c>
      <c r="D20" s="18" t="s">
        <v>398</v>
      </c>
      <c r="E20" s="18" t="s">
        <v>446</v>
      </c>
      <c r="F20" s="18" t="s">
        <v>407</v>
      </c>
      <c r="G20" s="10" t="s">
        <v>196</v>
      </c>
      <c r="H20" s="18" t="s">
        <v>248</v>
      </c>
      <c r="I20" s="18" t="s">
        <v>413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9" t="str">
        <f>IF(OR(W20="",X20=""),"",(X20-W20)/X20)</f>
        <v/>
      </c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x14ac:dyDescent="0.2">
      <c r="A21">
        <v>1</v>
      </c>
      <c r="B21" s="10" t="s">
        <v>423</v>
      </c>
      <c r="C21" s="18" t="s">
        <v>431</v>
      </c>
      <c r="D21" s="18" t="s">
        <v>399</v>
      </c>
      <c r="E21" s="18" t="s">
        <v>446</v>
      </c>
      <c r="F21" s="18" t="s">
        <v>408</v>
      </c>
      <c r="G21" s="10" t="s">
        <v>196</v>
      </c>
      <c r="H21" s="18" t="s">
        <v>248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9" t="str">
        <f>IF(OR(W21="",X21=""),"",(X21-W21)/X21)</f>
        <v/>
      </c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x14ac:dyDescent="0.2">
      <c r="A22">
        <v>1</v>
      </c>
      <c r="B22" s="10" t="s">
        <v>424</v>
      </c>
      <c r="C22" s="18" t="s">
        <v>431</v>
      </c>
      <c r="D22" s="18" t="s">
        <v>400</v>
      </c>
      <c r="E22" s="18" t="s">
        <v>446</v>
      </c>
      <c r="F22" s="18" t="s">
        <v>409</v>
      </c>
      <c r="G22" s="10" t="s">
        <v>196</v>
      </c>
      <c r="H22" s="18" t="s">
        <v>248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9" t="str">
        <f>IF(OR(W22="",X22=""),"",(X22-W22)/X22)</f>
        <v/>
      </c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x14ac:dyDescent="0.2">
      <c r="A23">
        <v>1</v>
      </c>
      <c r="B23" s="10" t="s">
        <v>425</v>
      </c>
      <c r="C23" s="18" t="s">
        <v>431</v>
      </c>
      <c r="D23" s="18" t="s">
        <v>401</v>
      </c>
      <c r="E23" s="18" t="s">
        <v>446</v>
      </c>
      <c r="F23" s="18" t="s">
        <v>410</v>
      </c>
      <c r="G23" s="10" t="s">
        <v>196</v>
      </c>
      <c r="H23" s="18" t="s">
        <v>248</v>
      </c>
      <c r="I23" s="18" t="s">
        <v>414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9" t="str">
        <f>IF(OR(W23="",X23=""),"",(X23-W23)/X23)</f>
        <v/>
      </c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x14ac:dyDescent="0.2">
      <c r="A24">
        <v>1</v>
      </c>
      <c r="B24" s="10" t="s">
        <v>426</v>
      </c>
      <c r="C24" s="10" t="s">
        <v>430</v>
      </c>
      <c r="D24" s="10" t="s">
        <v>391</v>
      </c>
      <c r="E24" s="10" t="s">
        <v>447</v>
      </c>
      <c r="F24" s="10" t="s">
        <v>434</v>
      </c>
      <c r="G24" s="10" t="s">
        <v>196</v>
      </c>
      <c r="H24" s="10" t="s">
        <v>197</v>
      </c>
      <c r="I24" s="10" t="s">
        <v>392</v>
      </c>
      <c r="J24" s="10" t="s">
        <v>199</v>
      </c>
      <c r="K24" s="10" t="s">
        <v>393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7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spans="1:39" x14ac:dyDescent="0.2">
      <c r="A25">
        <v>2</v>
      </c>
      <c r="B25" s="10" t="s">
        <v>250</v>
      </c>
      <c r="C25" s="10"/>
      <c r="D25" s="10" t="s">
        <v>436</v>
      </c>
      <c r="E25" s="10" t="s">
        <v>446</v>
      </c>
      <c r="F25" s="10"/>
      <c r="G25" s="10" t="s">
        <v>196</v>
      </c>
      <c r="H25" s="10" t="s">
        <v>197</v>
      </c>
      <c r="I25" s="10" t="s">
        <v>219</v>
      </c>
      <c r="J25" s="10" t="s">
        <v>251</v>
      </c>
      <c r="K25" s="10" t="s">
        <v>252</v>
      </c>
      <c r="L25" s="10" t="s">
        <v>191</v>
      </c>
      <c r="M25" s="10" t="s">
        <v>182</v>
      </c>
      <c r="N25" s="10" t="s">
        <v>202</v>
      </c>
      <c r="O25" s="10" t="s">
        <v>203</v>
      </c>
      <c r="P25" s="10" t="s">
        <v>246</v>
      </c>
      <c r="Q25" s="10"/>
      <c r="R25" s="10"/>
      <c r="S25" s="10"/>
      <c r="T25" s="10"/>
      <c r="U25" s="10"/>
      <c r="V25" s="10"/>
      <c r="W25" s="10"/>
      <c r="X25" s="10"/>
      <c r="Y25" s="17" t="str">
        <f>IF(OR(W25="",X25=""),"",(X25-W25)/X25)</f>
        <v/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</row>
    <row r="26" spans="1:39" x14ac:dyDescent="0.2">
      <c r="A26">
        <v>2</v>
      </c>
      <c r="B26" s="8" t="s">
        <v>253</v>
      </c>
      <c r="C26" s="8"/>
      <c r="D26" s="8" t="s">
        <v>254</v>
      </c>
      <c r="E26" s="8" t="s">
        <v>446</v>
      </c>
      <c r="F26" s="8"/>
      <c r="G26" s="8" t="s">
        <v>196</v>
      </c>
      <c r="H26" s="8" t="s">
        <v>255</v>
      </c>
      <c r="I26" s="8" t="s">
        <v>255</v>
      </c>
      <c r="J26" s="8" t="s">
        <v>251</v>
      </c>
      <c r="K26" s="8" t="s">
        <v>256</v>
      </c>
      <c r="L26" s="8" t="s">
        <v>201</v>
      </c>
      <c r="M26" s="8" t="s">
        <v>192</v>
      </c>
      <c r="N26" s="8" t="s">
        <v>202</v>
      </c>
      <c r="O26" s="8" t="s">
        <v>203</v>
      </c>
      <c r="P26" s="8" t="s">
        <v>246</v>
      </c>
      <c r="Q26" s="8"/>
      <c r="R26" s="8"/>
      <c r="S26" s="8"/>
      <c r="T26" s="8"/>
      <c r="U26" s="8"/>
      <c r="V26" s="8"/>
      <c r="W26" s="8"/>
      <c r="X26" s="8"/>
      <c r="Y26" s="16" t="str">
        <f>IF(OR(W26="",X26=""),"",(X26-W26)/X26)</f>
        <v/>
      </c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x14ac:dyDescent="0.2">
      <c r="A27">
        <v>2</v>
      </c>
      <c r="B27" s="18" t="s">
        <v>438</v>
      </c>
      <c r="C27" s="18" t="s">
        <v>439</v>
      </c>
      <c r="D27" s="18" t="s">
        <v>437</v>
      </c>
      <c r="E27" s="18" t="s">
        <v>446</v>
      </c>
      <c r="F27" s="18"/>
      <c r="G27" s="8" t="s">
        <v>196</v>
      </c>
      <c r="H27" s="18" t="s">
        <v>248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9" t="str">
        <f>IF(OR(W27="",X27=""),"",(X27-W27)/X27)</f>
        <v/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x14ac:dyDescent="0.2">
      <c r="A28">
        <v>2</v>
      </c>
      <c r="B28" s="18" t="s">
        <v>441</v>
      </c>
      <c r="C28" s="18"/>
      <c r="D28" s="18" t="s">
        <v>442</v>
      </c>
      <c r="E28" s="18" t="s">
        <v>446</v>
      </c>
      <c r="F28" s="18" t="s">
        <v>440</v>
      </c>
      <c r="G28" s="8" t="s">
        <v>196</v>
      </c>
      <c r="H28" s="18" t="s">
        <v>197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9" t="str">
        <f>IF(OR(W28="",X28=""),"",(X28-W28)/X28)</f>
        <v/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x14ac:dyDescent="0.2">
      <c r="A29">
        <v>2</v>
      </c>
      <c r="B29" s="18" t="s">
        <v>444</v>
      </c>
      <c r="C29" s="18"/>
      <c r="D29" s="18" t="s">
        <v>445</v>
      </c>
      <c r="E29" s="18" t="s">
        <v>446</v>
      </c>
      <c r="F29" s="18" t="s">
        <v>443</v>
      </c>
      <c r="G29" s="8" t="s">
        <v>196</v>
      </c>
      <c r="H29" s="18" t="s">
        <v>197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9" t="str">
        <f>IF(OR(W29="",X29=""),"",(X29-W29)/X29)</f>
        <v/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x14ac:dyDescent="0.2">
      <c r="A30">
        <v>3</v>
      </c>
      <c r="B30" s="10" t="s">
        <v>233</v>
      </c>
      <c r="C30" s="10"/>
      <c r="D30" s="10" t="s">
        <v>234</v>
      </c>
      <c r="E30" s="10" t="s">
        <v>448</v>
      </c>
      <c r="F30" s="10"/>
      <c r="G30" s="10" t="s">
        <v>196</v>
      </c>
      <c r="H30" s="10" t="s">
        <v>197</v>
      </c>
      <c r="I30" s="10" t="s">
        <v>198</v>
      </c>
      <c r="J30" s="10" t="s">
        <v>235</v>
      </c>
      <c r="K30" s="10" t="s">
        <v>236</v>
      </c>
      <c r="L30" s="10" t="s">
        <v>181</v>
      </c>
      <c r="M30" s="10" t="s">
        <v>182</v>
      </c>
      <c r="N30" s="10" t="s">
        <v>202</v>
      </c>
      <c r="O30" s="10" t="s">
        <v>203</v>
      </c>
      <c r="P30" s="10" t="s">
        <v>237</v>
      </c>
      <c r="Q30" s="10"/>
      <c r="R30" s="10"/>
      <c r="S30" s="10"/>
      <c r="T30" s="10"/>
      <c r="U30" s="10"/>
      <c r="V30" s="10"/>
      <c r="W30" s="10"/>
      <c r="X30" s="10"/>
      <c r="Y30" s="17" t="str">
        <f>IF(OR(W30="",X30=""),"",(X30-W30)/X30)</f>
        <v/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</row>
    <row r="31" spans="1:39" x14ac:dyDescent="0.2">
      <c r="A31">
        <v>3</v>
      </c>
      <c r="B31" s="8" t="s">
        <v>238</v>
      </c>
      <c r="C31" s="8"/>
      <c r="D31" s="8" t="s">
        <v>239</v>
      </c>
      <c r="E31" s="8" t="s">
        <v>448</v>
      </c>
      <c r="F31" s="8"/>
      <c r="G31" s="8" t="s">
        <v>196</v>
      </c>
      <c r="H31" s="8" t="s">
        <v>197</v>
      </c>
      <c r="I31" s="8" t="s">
        <v>198</v>
      </c>
      <c r="J31" s="8" t="s">
        <v>235</v>
      </c>
      <c r="K31" s="8" t="s">
        <v>240</v>
      </c>
      <c r="L31" s="8" t="s">
        <v>181</v>
      </c>
      <c r="M31" s="8" t="s">
        <v>182</v>
      </c>
      <c r="N31" s="8" t="s">
        <v>202</v>
      </c>
      <c r="O31" s="8" t="s">
        <v>203</v>
      </c>
      <c r="P31" s="8" t="s">
        <v>237</v>
      </c>
      <c r="Q31" s="8"/>
      <c r="R31" s="8"/>
      <c r="S31" s="8"/>
      <c r="T31" s="8"/>
      <c r="U31" s="8"/>
      <c r="V31" s="8"/>
      <c r="W31" s="8"/>
      <c r="X31" s="8"/>
      <c r="Y31" s="16" t="str">
        <f>IF(OR(W31="",X31=""),"",(X31-W31)/X31)</f>
        <v/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  <row r="32" spans="1:39" x14ac:dyDescent="0.2">
      <c r="A32">
        <v>3</v>
      </c>
      <c r="B32" s="10" t="s">
        <v>241</v>
      </c>
      <c r="C32" s="10"/>
      <c r="D32" s="10" t="s">
        <v>450</v>
      </c>
      <c r="E32" s="10" t="s">
        <v>446</v>
      </c>
      <c r="F32" s="10"/>
      <c r="G32" s="10" t="s">
        <v>196</v>
      </c>
      <c r="H32" s="10" t="s">
        <v>197</v>
      </c>
      <c r="I32" s="10" t="s">
        <v>198</v>
      </c>
      <c r="J32" s="10" t="s">
        <v>235</v>
      </c>
      <c r="K32" s="10" t="s">
        <v>242</v>
      </c>
      <c r="L32" s="10" t="s">
        <v>191</v>
      </c>
      <c r="M32" s="10" t="s">
        <v>192</v>
      </c>
      <c r="N32" s="10" t="s">
        <v>202</v>
      </c>
      <c r="O32" s="10" t="s">
        <v>203</v>
      </c>
      <c r="P32" s="10" t="s">
        <v>237</v>
      </c>
      <c r="Q32" s="10"/>
      <c r="R32" s="10"/>
      <c r="S32" s="10"/>
      <c r="T32" s="10"/>
      <c r="U32" s="10"/>
      <c r="V32" s="10"/>
      <c r="W32" s="10"/>
      <c r="X32" s="10"/>
      <c r="Y32" s="17" t="str">
        <f>IF(OR(W32="",X32=""),"",(X32-W32)/X32)</f>
        <v/>
      </c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</row>
    <row r="33" spans="1:39" x14ac:dyDescent="0.2">
      <c r="A33">
        <v>3</v>
      </c>
      <c r="B33" s="8" t="s">
        <v>243</v>
      </c>
      <c r="C33" s="8"/>
      <c r="D33" s="8" t="s">
        <v>451</v>
      </c>
      <c r="E33" s="8" t="s">
        <v>446</v>
      </c>
      <c r="F33" s="8"/>
      <c r="G33" s="8" t="s">
        <v>196</v>
      </c>
      <c r="H33" s="8" t="s">
        <v>197</v>
      </c>
      <c r="I33" s="8" t="s">
        <v>198</v>
      </c>
      <c r="J33" s="8" t="s">
        <v>235</v>
      </c>
      <c r="K33" s="8" t="s">
        <v>244</v>
      </c>
      <c r="L33" s="8" t="s">
        <v>201</v>
      </c>
      <c r="M33" s="8" t="s">
        <v>192</v>
      </c>
      <c r="N33" s="8" t="s">
        <v>202</v>
      </c>
      <c r="O33" s="8" t="s">
        <v>203</v>
      </c>
      <c r="P33" s="8" t="s">
        <v>237</v>
      </c>
      <c r="Q33" s="8"/>
      <c r="R33" s="8"/>
      <c r="S33" s="8"/>
      <c r="T33" s="8"/>
      <c r="U33" s="8"/>
      <c r="V33" s="8"/>
      <c r="W33" s="8"/>
      <c r="X33" s="8"/>
      <c r="Y33" s="16" t="str">
        <f>IF(OR(W33="",X33=""),"",(X33-W33)/X33)</f>
        <v/>
      </c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</row>
    <row r="34" spans="1:39" x14ac:dyDescent="0.2">
      <c r="A34">
        <v>3</v>
      </c>
      <c r="B34" s="10" t="s">
        <v>245</v>
      </c>
      <c r="C34" s="10"/>
      <c r="D34" s="10" t="s">
        <v>452</v>
      </c>
      <c r="E34" s="10" t="s">
        <v>446</v>
      </c>
      <c r="F34" s="10"/>
      <c r="G34" s="10" t="s">
        <v>196</v>
      </c>
      <c r="H34" s="10" t="s">
        <v>197</v>
      </c>
      <c r="I34" s="10" t="s">
        <v>198</v>
      </c>
      <c r="J34" s="10" t="s">
        <v>235</v>
      </c>
      <c r="K34" s="10" t="s">
        <v>244</v>
      </c>
      <c r="L34" s="10" t="s">
        <v>201</v>
      </c>
      <c r="M34" s="10" t="s">
        <v>192</v>
      </c>
      <c r="N34" s="10" t="s">
        <v>202</v>
      </c>
      <c r="O34" s="10" t="s">
        <v>203</v>
      </c>
      <c r="P34" s="10" t="s">
        <v>246</v>
      </c>
      <c r="Q34" s="10"/>
      <c r="R34" s="10"/>
      <c r="S34" s="10"/>
      <c r="T34" s="10"/>
      <c r="U34" s="10"/>
      <c r="V34" s="10"/>
      <c r="W34" s="10"/>
      <c r="X34" s="10"/>
      <c r="Y34" s="17" t="str">
        <f>IF(OR(W34="",X34=""),"",(X34-W34)/X34)</f>
        <v/>
      </c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1:39" x14ac:dyDescent="0.2">
      <c r="A35">
        <v>3</v>
      </c>
      <c r="B35" s="8" t="s">
        <v>247</v>
      </c>
      <c r="C35" s="8"/>
      <c r="D35" s="8" t="s">
        <v>453</v>
      </c>
      <c r="E35" s="8" t="s">
        <v>446</v>
      </c>
      <c r="F35" s="8"/>
      <c r="G35" s="8" t="s">
        <v>196</v>
      </c>
      <c r="H35" s="8" t="s">
        <v>248</v>
      </c>
      <c r="I35" s="8" t="s">
        <v>248</v>
      </c>
      <c r="J35" s="8" t="s">
        <v>235</v>
      </c>
      <c r="K35" s="8" t="s">
        <v>249</v>
      </c>
      <c r="L35" s="8" t="s">
        <v>191</v>
      </c>
      <c r="M35" s="8" t="s">
        <v>192</v>
      </c>
      <c r="N35" s="8" t="s">
        <v>202</v>
      </c>
      <c r="O35" s="8" t="s">
        <v>203</v>
      </c>
      <c r="P35" s="8" t="s">
        <v>246</v>
      </c>
      <c r="Q35" s="8"/>
      <c r="R35" s="8"/>
      <c r="S35" s="8"/>
      <c r="T35" s="8"/>
      <c r="U35" s="8"/>
      <c r="V35" s="8"/>
      <c r="W35" s="8"/>
      <c r="X35" s="8"/>
      <c r="Y35" s="16" t="str">
        <f>IF(OR(W35="",X35=""),"",(X35-W35)/X35)</f>
        <v/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</row>
    <row r="36" spans="1:39" x14ac:dyDescent="0.2">
      <c r="A36">
        <v>4</v>
      </c>
      <c r="B36" s="10" t="s">
        <v>274</v>
      </c>
      <c r="C36" s="10"/>
      <c r="D36" s="10" t="s">
        <v>275</v>
      </c>
      <c r="E36" s="10" t="s">
        <v>449</v>
      </c>
      <c r="F36" s="10"/>
      <c r="G36" s="10" t="s">
        <v>176</v>
      </c>
      <c r="H36" s="10" t="s">
        <v>177</v>
      </c>
      <c r="I36" s="10" t="s">
        <v>178</v>
      </c>
      <c r="J36" s="10" t="s">
        <v>266</v>
      </c>
      <c r="K36" s="10" t="s">
        <v>276</v>
      </c>
      <c r="L36" s="10" t="s">
        <v>181</v>
      </c>
      <c r="M36" s="10" t="s">
        <v>182</v>
      </c>
      <c r="N36" s="10" t="s">
        <v>202</v>
      </c>
      <c r="O36" s="10" t="s">
        <v>184</v>
      </c>
      <c r="P36" s="10" t="s">
        <v>260</v>
      </c>
      <c r="Q36" s="10"/>
      <c r="R36" s="10"/>
      <c r="S36" s="10"/>
      <c r="T36" s="10"/>
      <c r="U36" s="10"/>
      <c r="V36" s="10"/>
      <c r="W36" s="10"/>
      <c r="X36" s="10"/>
      <c r="Y36" s="17" t="str">
        <f>IF(OR(W36="",X36=""),"",(X36-W36)/X36)</f>
        <v/>
      </c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1:39" x14ac:dyDescent="0.2">
      <c r="A37">
        <v>4</v>
      </c>
      <c r="B37" s="8" t="s">
        <v>277</v>
      </c>
      <c r="C37" s="8"/>
      <c r="D37" s="8" t="s">
        <v>278</v>
      </c>
      <c r="E37" s="8" t="s">
        <v>226</v>
      </c>
      <c r="F37" s="8"/>
      <c r="G37" s="8" t="s">
        <v>176</v>
      </c>
      <c r="H37" s="8" t="s">
        <v>177</v>
      </c>
      <c r="I37" s="8" t="s">
        <v>279</v>
      </c>
      <c r="J37" s="8" t="s">
        <v>258</v>
      </c>
      <c r="K37" s="8" t="s">
        <v>280</v>
      </c>
      <c r="L37" s="8" t="s">
        <v>191</v>
      </c>
      <c r="M37" s="8" t="s">
        <v>192</v>
      </c>
      <c r="N37" s="8" t="s">
        <v>202</v>
      </c>
      <c r="O37" s="8" t="s">
        <v>184</v>
      </c>
      <c r="P37" s="8" t="s">
        <v>260</v>
      </c>
      <c r="Q37" s="8"/>
      <c r="R37" s="8"/>
      <c r="S37" s="8"/>
      <c r="T37" s="8"/>
      <c r="U37" s="8"/>
      <c r="V37" s="8"/>
      <c r="W37" s="8"/>
      <c r="X37" s="8"/>
      <c r="Y37" s="16" t="str">
        <f>IF(OR(W37="",X37=""),"",(X37-W37)/X37)</f>
        <v/>
      </c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1:39" x14ac:dyDescent="0.2">
      <c r="A38">
        <v>4</v>
      </c>
      <c r="B38" s="10" t="s">
        <v>257</v>
      </c>
      <c r="C38" s="10"/>
      <c r="D38" s="10" t="s">
        <v>454</v>
      </c>
      <c r="E38" s="10" t="s">
        <v>446</v>
      </c>
      <c r="F38" s="10"/>
      <c r="G38" s="10" t="s">
        <v>196</v>
      </c>
      <c r="H38" s="10" t="s">
        <v>197</v>
      </c>
      <c r="I38" s="10" t="s">
        <v>198</v>
      </c>
      <c r="J38" s="10" t="s">
        <v>258</v>
      </c>
      <c r="K38" s="10" t="s">
        <v>259</v>
      </c>
      <c r="L38" s="10" t="s">
        <v>191</v>
      </c>
      <c r="M38" s="10" t="s">
        <v>182</v>
      </c>
      <c r="N38" s="10" t="s">
        <v>202</v>
      </c>
      <c r="O38" s="10" t="s">
        <v>203</v>
      </c>
      <c r="P38" s="10" t="s">
        <v>260</v>
      </c>
      <c r="Q38" s="10"/>
      <c r="R38" s="10"/>
      <c r="S38" s="10"/>
      <c r="T38" s="10"/>
      <c r="U38" s="10"/>
      <c r="V38" s="10"/>
      <c r="W38" s="10"/>
      <c r="X38" s="10"/>
      <c r="Y38" s="17" t="str">
        <f>IF(OR(W38="",X38=""),"",(X38-W38)/X38)</f>
        <v/>
      </c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1:39" x14ac:dyDescent="0.2">
      <c r="A39">
        <v>4</v>
      </c>
      <c r="B39" s="8" t="s">
        <v>261</v>
      </c>
      <c r="C39" s="8"/>
      <c r="D39" s="8" t="s">
        <v>455</v>
      </c>
      <c r="E39" s="8" t="s">
        <v>446</v>
      </c>
      <c r="F39" s="8"/>
      <c r="G39" s="8" t="s">
        <v>196</v>
      </c>
      <c r="H39" s="8" t="s">
        <v>197</v>
      </c>
      <c r="I39" s="8" t="s">
        <v>198</v>
      </c>
      <c r="J39" s="8" t="s">
        <v>258</v>
      </c>
      <c r="K39" s="8" t="s">
        <v>262</v>
      </c>
      <c r="L39" s="8" t="s">
        <v>191</v>
      </c>
      <c r="M39" s="8" t="s">
        <v>192</v>
      </c>
      <c r="N39" s="8" t="s">
        <v>202</v>
      </c>
      <c r="O39" s="8" t="s">
        <v>203</v>
      </c>
      <c r="P39" s="8" t="s">
        <v>260</v>
      </c>
      <c r="Q39" s="8"/>
      <c r="R39" s="8"/>
      <c r="S39" s="8"/>
      <c r="T39" s="8"/>
      <c r="U39" s="8"/>
      <c r="V39" s="8"/>
      <c r="W39" s="8"/>
      <c r="X39" s="8"/>
      <c r="Y39" s="16" t="str">
        <f>IF(OR(W39="",X39=""),"",(X39-W39)/X39)</f>
        <v/>
      </c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:39" x14ac:dyDescent="0.2">
      <c r="A40">
        <v>4</v>
      </c>
      <c r="B40" s="10" t="s">
        <v>263</v>
      </c>
      <c r="C40" s="10"/>
      <c r="D40" s="10" t="s">
        <v>456</v>
      </c>
      <c r="E40" s="10" t="s">
        <v>446</v>
      </c>
      <c r="F40" s="10"/>
      <c r="G40" s="10" t="s">
        <v>196</v>
      </c>
      <c r="H40" s="10" t="s">
        <v>197</v>
      </c>
      <c r="I40" s="10" t="s">
        <v>198</v>
      </c>
      <c r="J40" s="10" t="s">
        <v>258</v>
      </c>
      <c r="K40" s="10" t="s">
        <v>264</v>
      </c>
      <c r="L40" s="10" t="s">
        <v>201</v>
      </c>
      <c r="M40" s="10" t="s">
        <v>192</v>
      </c>
      <c r="N40" s="10" t="s">
        <v>202</v>
      </c>
      <c r="O40" s="10" t="s">
        <v>203</v>
      </c>
      <c r="P40" s="10" t="s">
        <v>260</v>
      </c>
      <c r="Q40" s="10"/>
      <c r="R40" s="10"/>
      <c r="S40" s="10"/>
      <c r="T40" s="10"/>
      <c r="U40" s="10"/>
      <c r="V40" s="10"/>
      <c r="W40" s="10"/>
      <c r="X40" s="10"/>
      <c r="Y40" s="17" t="str">
        <f>IF(OR(W40="",X40=""),"",(X40-W40)/X40)</f>
        <v/>
      </c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1:39" x14ac:dyDescent="0.2">
      <c r="A41">
        <v>4</v>
      </c>
      <c r="B41" s="8" t="s">
        <v>265</v>
      </c>
      <c r="C41" s="8"/>
      <c r="D41" s="8" t="s">
        <v>457</v>
      </c>
      <c r="E41" s="8" t="s">
        <v>446</v>
      </c>
      <c r="F41" s="8"/>
      <c r="G41" s="8" t="s">
        <v>196</v>
      </c>
      <c r="H41" s="8" t="s">
        <v>248</v>
      </c>
      <c r="I41" s="8" t="s">
        <v>248</v>
      </c>
      <c r="J41" s="8" t="s">
        <v>266</v>
      </c>
      <c r="K41" s="8" t="s">
        <v>267</v>
      </c>
      <c r="L41" s="8" t="s">
        <v>201</v>
      </c>
      <c r="M41" s="8" t="s">
        <v>192</v>
      </c>
      <c r="N41" s="8" t="s">
        <v>202</v>
      </c>
      <c r="O41" s="8" t="s">
        <v>203</v>
      </c>
      <c r="P41" s="8" t="s">
        <v>260</v>
      </c>
      <c r="Q41" s="8"/>
      <c r="R41" s="8"/>
      <c r="S41" s="8"/>
      <c r="T41" s="8"/>
      <c r="U41" s="8"/>
      <c r="V41" s="8"/>
      <c r="W41" s="8"/>
      <c r="X41" s="8"/>
      <c r="Y41" s="16" t="str">
        <f>IF(OR(W41="",X41=""),"",(X41-W41)/X41)</f>
        <v/>
      </c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1:39" x14ac:dyDescent="0.2">
      <c r="A42">
        <v>4</v>
      </c>
      <c r="B42" s="10" t="s">
        <v>268</v>
      </c>
      <c r="C42" s="10"/>
      <c r="D42" s="10" t="s">
        <v>458</v>
      </c>
      <c r="E42" s="10" t="s">
        <v>446</v>
      </c>
      <c r="F42" s="10"/>
      <c r="G42" s="10" t="s">
        <v>196</v>
      </c>
      <c r="H42" s="10" t="s">
        <v>197</v>
      </c>
      <c r="I42" s="10" t="s">
        <v>269</v>
      </c>
      <c r="J42" s="10" t="s">
        <v>266</v>
      </c>
      <c r="K42" s="10" t="s">
        <v>270</v>
      </c>
      <c r="L42" s="10" t="s">
        <v>201</v>
      </c>
      <c r="M42" s="10" t="s">
        <v>192</v>
      </c>
      <c r="N42" s="10" t="s">
        <v>202</v>
      </c>
      <c r="O42" s="10" t="s">
        <v>203</v>
      </c>
      <c r="P42" s="10" t="s">
        <v>271</v>
      </c>
      <c r="Q42" s="10"/>
      <c r="R42" s="10"/>
      <c r="S42" s="10"/>
      <c r="T42" s="10"/>
      <c r="U42" s="10"/>
      <c r="V42" s="10"/>
      <c r="W42" s="10"/>
      <c r="X42" s="10"/>
      <c r="Y42" s="17" t="str">
        <f>IF(OR(W42="",X42=""),"",(X42-W42)/X42)</f>
        <v/>
      </c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1:39" x14ac:dyDescent="0.2">
      <c r="A43">
        <v>4</v>
      </c>
      <c r="B43" s="8" t="s">
        <v>272</v>
      </c>
      <c r="C43" s="8"/>
      <c r="D43" s="8" t="s">
        <v>459</v>
      </c>
      <c r="E43" s="8" t="s">
        <v>446</v>
      </c>
      <c r="F43" s="8"/>
      <c r="G43" s="8" t="s">
        <v>196</v>
      </c>
      <c r="H43" s="8" t="s">
        <v>197</v>
      </c>
      <c r="I43" s="8" t="s">
        <v>198</v>
      </c>
      <c r="J43" s="8" t="s">
        <v>266</v>
      </c>
      <c r="K43" s="8" t="s">
        <v>273</v>
      </c>
      <c r="L43" s="8" t="s">
        <v>201</v>
      </c>
      <c r="M43" s="8" t="s">
        <v>192</v>
      </c>
      <c r="N43" s="8" t="s">
        <v>202</v>
      </c>
      <c r="O43" s="8" t="s">
        <v>203</v>
      </c>
      <c r="P43" s="8" t="s">
        <v>271</v>
      </c>
      <c r="Q43" s="8"/>
      <c r="R43" s="8"/>
      <c r="S43" s="8"/>
      <c r="T43" s="8"/>
      <c r="U43" s="8"/>
      <c r="V43" s="8"/>
      <c r="W43" s="8"/>
      <c r="X43" s="8"/>
      <c r="Y43" s="16" t="str">
        <f>IF(OR(W43="",X43=""),"",(X43-W43)/X43)</f>
        <v/>
      </c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:39" x14ac:dyDescent="0.2">
      <c r="B44" s="8" t="s">
        <v>222</v>
      </c>
      <c r="C44" s="8"/>
      <c r="D44" s="8" t="s">
        <v>460</v>
      </c>
      <c r="E44" s="8" t="s">
        <v>446</v>
      </c>
      <c r="F44" s="8"/>
      <c r="G44" s="8" t="s">
        <v>196</v>
      </c>
      <c r="H44" s="8" t="s">
        <v>197</v>
      </c>
      <c r="I44" s="8" t="s">
        <v>219</v>
      </c>
      <c r="J44" s="8" t="s">
        <v>223</v>
      </c>
      <c r="K44" s="8" t="s">
        <v>224</v>
      </c>
      <c r="L44" s="8" t="s">
        <v>201</v>
      </c>
      <c r="M44" s="8" t="s">
        <v>192</v>
      </c>
      <c r="N44" s="8" t="s">
        <v>202</v>
      </c>
      <c r="O44" s="8" t="s">
        <v>203</v>
      </c>
      <c r="P44" s="8" t="s">
        <v>208</v>
      </c>
      <c r="Q44" s="8"/>
      <c r="R44" s="8"/>
      <c r="S44" s="8"/>
      <c r="T44" s="8"/>
      <c r="U44" s="8"/>
      <c r="V44" s="8"/>
      <c r="W44" s="8"/>
      <c r="X44" s="8"/>
      <c r="Y44" s="16" t="str">
        <f>IF(OR(W44="",X44=""),"",(X44-W44)/X44)</f>
        <v/>
      </c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39" x14ac:dyDescent="0.2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9" t="str">
        <f>IF(OR(W45="",X45=""),"",(X45-W45)/X45)</f>
        <v/>
      </c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 spans="1:39" x14ac:dyDescent="0.2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9" t="str">
        <f>IF(OR(W46="",X46=""),"",(X46-W46)/X46)</f>
        <v/>
      </c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 spans="1:39" x14ac:dyDescent="0.2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9" t="str">
        <f>IF(OR(W47="",X47=""),"",(X47-W47)/X47)</f>
        <v/>
      </c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</row>
    <row r="48" spans="1:39" x14ac:dyDescent="0.2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9" t="str">
        <f>IF(OR(W48="",X48=""),"",(X48-W48)/X48)</f>
        <v/>
      </c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</row>
    <row r="49" spans="2:39" x14ac:dyDescent="0.2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9" t="str">
        <f>IF(OR(W49="",X49=""),"",(X49-W49)/X49)</f>
        <v/>
      </c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 spans="2:39" x14ac:dyDescent="0.2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9" t="str">
        <f>IF(OR(W50="",X50=""),"",(X50-W50)/X50)</f>
        <v/>
      </c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 spans="2:39" x14ac:dyDescent="0.2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9" t="str">
        <f>IF(OR(W51="",X51=""),"",(X51-W51)/X51)</f>
        <v/>
      </c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</row>
    <row r="52" spans="2:39" x14ac:dyDescent="0.2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9" t="str">
        <f>IF(OR(W52="",X52=""),"",(X52-W52)/X52)</f>
        <v/>
      </c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</row>
    <row r="53" spans="2:39" x14ac:dyDescent="0.2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9" t="str">
        <f>IF(OR(W53="",X53=""),"",(X53-W53)/X53)</f>
        <v/>
      </c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</row>
    <row r="54" spans="2:39" x14ac:dyDescent="0.2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9" t="str">
        <f>IF(OR(W54="",X54=""),"",(X54-W54)/X54)</f>
        <v/>
      </c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</row>
    <row r="55" spans="2:39" x14ac:dyDescent="0.2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9" t="str">
        <f>IF(OR(W55="",X55=""),"",(X55-W55)/X55)</f>
        <v/>
      </c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</row>
    <row r="56" spans="2:39" x14ac:dyDescent="0.2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9" t="str">
        <f>IF(OR(W56="",X56=""),"",(X56-W56)/X56)</f>
        <v/>
      </c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</row>
    <row r="57" spans="2:39" x14ac:dyDescent="0.2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9" t="str">
        <f>IF(OR(W57="",X57=""),"",(X57-W57)/X57)</f>
        <v/>
      </c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</row>
    <row r="58" spans="2:39" x14ac:dyDescent="0.2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9" t="str">
        <f>IF(OR(W58="",X58=""),"",(X58-W58)/X58)</f>
        <v/>
      </c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</row>
    <row r="59" spans="2:39" x14ac:dyDescent="0.2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9" t="str">
        <f>IF(OR(W59="",X59=""),"",(X59-W59)/X59)</f>
        <v/>
      </c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</row>
    <row r="60" spans="2:39" x14ac:dyDescent="0.2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9" t="str">
        <f>IF(OR(W60="",X60=""),"",(X60-W60)/X60)</f>
        <v/>
      </c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</row>
    <row r="61" spans="2:39" x14ac:dyDescent="0.2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9" t="str">
        <f>IF(OR(W61="",X61=""),"",(X61-W61)/X61)</f>
        <v/>
      </c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</row>
    <row r="62" spans="2:39" x14ac:dyDescent="0.2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9" t="str">
        <f>IF(OR(W62="",X62=""),"",(X62-W62)/X62)</f>
        <v/>
      </c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</row>
    <row r="63" spans="2:39" x14ac:dyDescent="0.2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9" t="str">
        <f>IF(OR(W63="",X63=""),"",(X63-W63)/X63)</f>
        <v/>
      </c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</row>
    <row r="64" spans="2:39" x14ac:dyDescent="0.2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9" t="str">
        <f>IF(OR(W64="",X64=""),"",(X64-W64)/X64)</f>
        <v/>
      </c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</row>
    <row r="65" spans="2:39" x14ac:dyDescent="0.2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9" t="str">
        <f>IF(OR(W65="",X65=""),"",(X65-W65)/X65)</f>
        <v/>
      </c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</row>
    <row r="66" spans="2:39" x14ac:dyDescent="0.2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9" t="str">
        <f>IF(OR(W66="",X66=""),"",(X66-W66)/X66)</f>
        <v/>
      </c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</row>
    <row r="67" spans="2:39" x14ac:dyDescent="0.2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9" t="str">
        <f>IF(OR(W67="",X67=""),"",(X67-W67)/X67)</f>
        <v/>
      </c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</row>
    <row r="68" spans="2:39" x14ac:dyDescent="0.2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9" t="str">
        <f>IF(OR(W68="",X68=""),"",(X68-W68)/X68)</f>
        <v/>
      </c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</row>
    <row r="69" spans="2:39" x14ac:dyDescent="0.2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9" t="str">
        <f>IF(OR(W69="",X69=""),"",(X69-W69)/X69)</f>
        <v/>
      </c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</row>
    <row r="70" spans="2:39" x14ac:dyDescent="0.2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9" t="str">
        <f>IF(OR(W70="",X70=""),"",(X70-W70)/X70)</f>
        <v/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</row>
  </sheetData>
  <autoFilter ref="A4:AM70" xr:uid="{00000000-0001-0000-0300-000000000000}">
    <sortState xmlns:xlrd2="http://schemas.microsoft.com/office/spreadsheetml/2017/richdata2" ref="A5:AM70">
      <sortCondition ref="A4:A70"/>
    </sortState>
  </autoFilter>
  <phoneticPr fontId="7" type="noConversion"/>
  <hyperlinks>
    <hyperlink ref="F15" r:id="rId1" xr:uid="{B8F45FC7-CE79-5D40-8741-7B1F8A0A2FDD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300-000004000000}">
          <x14:formula1>
            <xm:f>'Reference Lists'!$E$4:$E$15</xm:f>
          </x14:formula1>
          <xm:sqref>K10 J5:J15 J16:J70</xm:sqref>
        </x14:dataValidation>
        <x14:dataValidation type="list" allowBlank="1" xr:uid="{00000000-0002-0000-0300-000008000000}">
          <x14:formula1>
            <xm:f>'Reference Lists'!$I$4:$I$5</xm:f>
          </x14:formula1>
          <xm:sqref>C42 AG5:AG15 AG16:AG70 AI5:AJ15 AI16:AJ70 F5:F15 F16:F70</xm:sqref>
        </x14:dataValidation>
        <x14:dataValidation type="list" allowBlank="1" xr:uid="{00000000-0002-0000-0300-000000000000}">
          <x14:formula1>
            <xm:f>'Reference Lists'!$A$4:$A$5</xm:f>
          </x14:formula1>
          <xm:sqref>G5:G15 G16:G70</xm:sqref>
        </x14:dataValidation>
        <x14:dataValidation type="list" allowBlank="1" xr:uid="{00000000-0002-0000-0300-000001000000}">
          <x14:formula1>
            <xm:f>'Reference Lists'!$B$4:$B$6</xm:f>
          </x14:formula1>
          <xm:sqref>L5:L15 L16:L70</xm:sqref>
        </x14:dataValidation>
        <x14:dataValidation type="list" allowBlank="1" xr:uid="{00000000-0002-0000-0300-000002000000}">
          <x14:formula1>
            <xm:f>'Reference Lists'!$C$4:$C$5</xm:f>
          </x14:formula1>
          <xm:sqref>M5:M15 M16:M70</xm:sqref>
        </x14:dataValidation>
        <x14:dataValidation type="list" allowBlank="1" xr:uid="{00000000-0002-0000-0300-000003000000}">
          <x14:formula1>
            <xm:f>'Reference Lists'!$D$4:$D$14</xm:f>
          </x14:formula1>
          <xm:sqref>N5:N15 N16:N70</xm:sqref>
        </x14:dataValidation>
        <x14:dataValidation type="list" allowBlank="1" xr:uid="{00000000-0002-0000-0300-000005000000}">
          <x14:formula1>
            <xm:f>'Reference Lists'!$F$4:$F$6</xm:f>
          </x14:formula1>
          <xm:sqref>S5:S15 S16:S70</xm:sqref>
        </x14:dataValidation>
        <x14:dataValidation type="list" allowBlank="1" xr:uid="{00000000-0002-0000-0300-000006000000}">
          <x14:formula1>
            <xm:f>'Reference Lists'!$G$4:$G$8</xm:f>
          </x14:formula1>
          <xm:sqref>AD5:AD15 AD16:AD70</xm:sqref>
        </x14:dataValidation>
        <x14:dataValidation type="list" allowBlank="1" xr:uid="{00000000-0002-0000-0300-000007000000}">
          <x14:formula1>
            <xm:f>'Reference Lists'!$H$4:$H$6</xm:f>
          </x14:formula1>
          <xm:sqref>AK5:AK15 AK16:AK70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1"/>
  <sheetViews>
    <sheetView showGridLines="0" workbookViewId="0">
      <pane ySplit="4" topLeftCell="A5" activePane="bottomLeft" state="frozen"/>
      <selection pane="bottomLeft" activeCell="J5" sqref="J5"/>
    </sheetView>
  </sheetViews>
  <sheetFormatPr baseColWidth="10" defaultColWidth="8.83203125" defaultRowHeight="15" x14ac:dyDescent="0.2"/>
  <cols>
    <col min="1" max="1" width="9" customWidth="1"/>
    <col min="2" max="2" width="10" customWidth="1"/>
    <col min="3" max="3" width="18" customWidth="1"/>
    <col min="4" max="5" width="16" customWidth="1"/>
    <col min="6" max="7" width="14" customWidth="1"/>
    <col min="8" max="8" width="15" customWidth="1"/>
    <col min="9" max="9" width="18" customWidth="1"/>
    <col min="10" max="10" width="17" customWidth="1"/>
    <col min="11" max="11" width="19" customWidth="1"/>
    <col min="12" max="12" width="14" customWidth="1"/>
    <col min="13" max="13" width="9" customWidth="1"/>
    <col min="14" max="14" width="40" customWidth="1"/>
  </cols>
  <sheetData>
    <row r="1" spans="1:14" ht="20" x14ac:dyDescent="0.2">
      <c r="A1" s="25" t="s">
        <v>10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">
      <c r="A2" s="23" t="s">
        <v>281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ht="28" x14ac:dyDescent="0.2">
      <c r="A4" s="6" t="s">
        <v>282</v>
      </c>
      <c r="B4" s="6" t="s">
        <v>283</v>
      </c>
      <c r="C4" s="6" t="s">
        <v>71</v>
      </c>
      <c r="D4" s="6" t="s">
        <v>284</v>
      </c>
      <c r="E4" s="6" t="s">
        <v>285</v>
      </c>
      <c r="F4" s="6" t="s">
        <v>286</v>
      </c>
      <c r="G4" s="6" t="s">
        <v>287</v>
      </c>
      <c r="H4" s="6" t="s">
        <v>288</v>
      </c>
      <c r="I4" s="6" t="s">
        <v>158</v>
      </c>
      <c r="J4" s="6" t="s">
        <v>289</v>
      </c>
      <c r="K4" s="6" t="s">
        <v>290</v>
      </c>
      <c r="L4" s="6" t="s">
        <v>291</v>
      </c>
      <c r="M4" s="6" t="s">
        <v>292</v>
      </c>
      <c r="N4" s="6" t="s">
        <v>293</v>
      </c>
    </row>
    <row r="5" spans="1:14" x14ac:dyDescent="0.2">
      <c r="A5" s="8" t="s">
        <v>185</v>
      </c>
      <c r="B5" s="8" t="s">
        <v>294</v>
      </c>
      <c r="C5" s="8" t="s">
        <v>295</v>
      </c>
      <c r="D5" s="8">
        <v>3</v>
      </c>
      <c r="E5" s="8">
        <f>COUNTIFS('Supplier Pipeline Tracker'!$P:$P,$A5,'Supplier Pipeline Tracker'!$R:$R,"&lt;&gt;",'Supplier Pipeline Tracker'!$S:$S,"Y")</f>
        <v>0</v>
      </c>
      <c r="F5" s="8">
        <f>COUNTIFS('Supplier Pipeline Tracker'!$P:$P,$A5,'Supplier Pipeline Tracker'!$Q:$Q,"&lt;&gt;")</f>
        <v>1</v>
      </c>
      <c r="G5" s="8">
        <f>COUNTIFS('Supplier Pipeline Tracker'!$P:$P,$A5,'Supplier Pipeline Tracker'!$R:$R,"&lt;&gt;")</f>
        <v>0</v>
      </c>
      <c r="H5" s="8">
        <f>COUNTIFS('Supplier Pipeline Tracker'!$P:$P,$A5,'Supplier Pipeline Tracker'!$T:$T,"&lt;&gt;")</f>
        <v>0</v>
      </c>
      <c r="I5" s="8">
        <f>COUNTIFS('Supplier Pipeline Tracker'!$P:$P,$A5,'Supplier Pipeline Tracker'!$S:$S,"Y")</f>
        <v>0</v>
      </c>
      <c r="J5" s="8">
        <f>COUNTIFS('Supplier Pipeline Tracker'!$P:$P,$A5,'Supplier Pipeline Tracker'!$AE:$AE,"&lt;&gt;")</f>
        <v>0</v>
      </c>
      <c r="K5" s="8">
        <f>SUM($E$5:$E5)</f>
        <v>0</v>
      </c>
      <c r="L5" s="20">
        <f t="shared" ref="L5:L10" si="0">$K5/50</f>
        <v>0</v>
      </c>
      <c r="M5" s="8" t="s">
        <v>296</v>
      </c>
      <c r="N5" s="8"/>
    </row>
    <row r="6" spans="1:14" x14ac:dyDescent="0.2">
      <c r="A6" s="8" t="s">
        <v>208</v>
      </c>
      <c r="B6" s="8" t="s">
        <v>297</v>
      </c>
      <c r="C6" s="8" t="s">
        <v>298</v>
      </c>
      <c r="D6" s="8">
        <v>6</v>
      </c>
      <c r="E6" s="8">
        <f>COUNTIFS('Supplier Pipeline Tracker'!$P:$P,$A6,'Supplier Pipeline Tracker'!$R:$R,"&lt;&gt;",'Supplier Pipeline Tracker'!$S:$S,"Y")</f>
        <v>0</v>
      </c>
      <c r="F6" s="8">
        <f>COUNTIFS('Supplier Pipeline Tracker'!$P:$P,$A6,'Supplier Pipeline Tracker'!$Q:$Q,"&lt;&gt;")</f>
        <v>0</v>
      </c>
      <c r="G6" s="8">
        <f>COUNTIFS('Supplier Pipeline Tracker'!$P:$P,$A6,'Supplier Pipeline Tracker'!$R:$R,"&lt;&gt;")</f>
        <v>0</v>
      </c>
      <c r="H6" s="8">
        <f>COUNTIFS('Supplier Pipeline Tracker'!$P:$P,$A6,'Supplier Pipeline Tracker'!$T:$T,"&lt;&gt;")</f>
        <v>0</v>
      </c>
      <c r="I6" s="8">
        <f>COUNTIFS('Supplier Pipeline Tracker'!$P:$P,$A6,'Supplier Pipeline Tracker'!$S:$S,"Y")</f>
        <v>0</v>
      </c>
      <c r="J6" s="8">
        <f>COUNTIFS('Supplier Pipeline Tracker'!$P:$P,$A6,'Supplier Pipeline Tracker'!$AE:$AE,"&lt;&gt;")</f>
        <v>0</v>
      </c>
      <c r="K6" s="8">
        <f>SUM($E$5:$E6)</f>
        <v>0</v>
      </c>
      <c r="L6" s="20">
        <f t="shared" si="0"/>
        <v>0</v>
      </c>
      <c r="M6" s="8" t="s">
        <v>296</v>
      </c>
      <c r="N6" s="8"/>
    </row>
    <row r="7" spans="1:14" x14ac:dyDescent="0.2">
      <c r="A7" s="8" t="s">
        <v>232</v>
      </c>
      <c r="B7" s="8" t="s">
        <v>299</v>
      </c>
      <c r="C7" s="8" t="s">
        <v>300</v>
      </c>
      <c r="D7" s="8">
        <v>3</v>
      </c>
      <c r="E7" s="8">
        <f>COUNTIFS('Supplier Pipeline Tracker'!$P:$P,$A7,'Supplier Pipeline Tracker'!$R:$R,"&lt;&gt;",'Supplier Pipeline Tracker'!$S:$S,"Y")</f>
        <v>0</v>
      </c>
      <c r="F7" s="8">
        <f>COUNTIFS('Supplier Pipeline Tracker'!$P:$P,$A7,'Supplier Pipeline Tracker'!$Q:$Q,"&lt;&gt;")</f>
        <v>0</v>
      </c>
      <c r="G7" s="8">
        <f>COUNTIFS('Supplier Pipeline Tracker'!$P:$P,$A7,'Supplier Pipeline Tracker'!$R:$R,"&lt;&gt;")</f>
        <v>0</v>
      </c>
      <c r="H7" s="8">
        <f>COUNTIFS('Supplier Pipeline Tracker'!$P:$P,$A7,'Supplier Pipeline Tracker'!$T:$T,"&lt;&gt;")</f>
        <v>0</v>
      </c>
      <c r="I7" s="8">
        <f>COUNTIFS('Supplier Pipeline Tracker'!$P:$P,$A7,'Supplier Pipeline Tracker'!$S:$S,"Y")</f>
        <v>0</v>
      </c>
      <c r="J7" s="8">
        <f>COUNTIFS('Supplier Pipeline Tracker'!$P:$P,$A7,'Supplier Pipeline Tracker'!$AE:$AE,"&lt;&gt;")</f>
        <v>0</v>
      </c>
      <c r="K7" s="8">
        <f>SUM($E$5:$E7)</f>
        <v>0</v>
      </c>
      <c r="L7" s="20">
        <f t="shared" si="0"/>
        <v>0</v>
      </c>
      <c r="M7" s="8" t="s">
        <v>296</v>
      </c>
      <c r="N7" s="8"/>
    </row>
    <row r="8" spans="1:14" x14ac:dyDescent="0.2">
      <c r="A8" s="8" t="s">
        <v>301</v>
      </c>
      <c r="B8" s="8" t="s">
        <v>302</v>
      </c>
      <c r="C8" s="8" t="s">
        <v>303</v>
      </c>
      <c r="D8" s="8">
        <v>3</v>
      </c>
      <c r="E8" s="8">
        <f>COUNTIFS('Supplier Pipeline Tracker'!$P:$P,$A8,'Supplier Pipeline Tracker'!$R:$R,"&lt;&gt;",'Supplier Pipeline Tracker'!$S:$S,"Y")</f>
        <v>0</v>
      </c>
      <c r="F8" s="8">
        <f>COUNTIFS('Supplier Pipeline Tracker'!$P:$P,$A8,'Supplier Pipeline Tracker'!$Q:$Q,"&lt;&gt;")</f>
        <v>0</v>
      </c>
      <c r="G8" s="8">
        <f>COUNTIFS('Supplier Pipeline Tracker'!$P:$P,$A8,'Supplier Pipeline Tracker'!$R:$R,"&lt;&gt;")</f>
        <v>0</v>
      </c>
      <c r="H8" s="8">
        <f>COUNTIFS('Supplier Pipeline Tracker'!$P:$P,$A8,'Supplier Pipeline Tracker'!$T:$T,"&lt;&gt;")</f>
        <v>0</v>
      </c>
      <c r="I8" s="8">
        <f>COUNTIFS('Supplier Pipeline Tracker'!$P:$P,$A8,'Supplier Pipeline Tracker'!$S:$S,"Y")</f>
        <v>0</v>
      </c>
      <c r="J8" s="8">
        <f>COUNTIFS('Supplier Pipeline Tracker'!$P:$P,$A8,'Supplier Pipeline Tracker'!$AE:$AE,"&lt;&gt;")</f>
        <v>0</v>
      </c>
      <c r="K8" s="8">
        <f>SUM($E$5:$E8)</f>
        <v>0</v>
      </c>
      <c r="L8" s="20">
        <f t="shared" si="0"/>
        <v>0</v>
      </c>
      <c r="M8" s="8" t="s">
        <v>296</v>
      </c>
      <c r="N8" s="8"/>
    </row>
    <row r="9" spans="1:14" x14ac:dyDescent="0.2">
      <c r="A9" s="8" t="s">
        <v>237</v>
      </c>
      <c r="B9" s="8" t="s">
        <v>304</v>
      </c>
      <c r="C9" s="8" t="s">
        <v>305</v>
      </c>
      <c r="D9" s="8">
        <v>4</v>
      </c>
      <c r="E9" s="8">
        <f>COUNTIFS('Supplier Pipeline Tracker'!$P:$P,$A9,'Supplier Pipeline Tracker'!$R:$R,"&lt;&gt;",'Supplier Pipeline Tracker'!$S:$S,"Y")</f>
        <v>0</v>
      </c>
      <c r="F9" s="8">
        <f>COUNTIFS('Supplier Pipeline Tracker'!$P:$P,$A9,'Supplier Pipeline Tracker'!$Q:$Q,"&lt;&gt;")</f>
        <v>0</v>
      </c>
      <c r="G9" s="8">
        <f>COUNTIFS('Supplier Pipeline Tracker'!$P:$P,$A9,'Supplier Pipeline Tracker'!$R:$R,"&lt;&gt;")</f>
        <v>0</v>
      </c>
      <c r="H9" s="8">
        <f>COUNTIFS('Supplier Pipeline Tracker'!$P:$P,$A9,'Supplier Pipeline Tracker'!$T:$T,"&lt;&gt;")</f>
        <v>0</v>
      </c>
      <c r="I9" s="8">
        <f>COUNTIFS('Supplier Pipeline Tracker'!$P:$P,$A9,'Supplier Pipeline Tracker'!$S:$S,"Y")</f>
        <v>0</v>
      </c>
      <c r="J9" s="8">
        <f>COUNTIFS('Supplier Pipeline Tracker'!$P:$P,$A9,'Supplier Pipeline Tracker'!$AE:$AE,"&lt;&gt;")</f>
        <v>0</v>
      </c>
      <c r="K9" s="8">
        <f>SUM($E$5:$E9)</f>
        <v>0</v>
      </c>
      <c r="L9" s="20">
        <f t="shared" si="0"/>
        <v>0</v>
      </c>
      <c r="M9" s="8" t="s">
        <v>296</v>
      </c>
      <c r="N9" s="8"/>
    </row>
    <row r="10" spans="1:14" x14ac:dyDescent="0.2">
      <c r="A10" s="8" t="s">
        <v>246</v>
      </c>
      <c r="B10" s="8" t="s">
        <v>306</v>
      </c>
      <c r="C10" s="8" t="s">
        <v>307</v>
      </c>
      <c r="D10" s="8">
        <v>3</v>
      </c>
      <c r="E10" s="8">
        <f>COUNTIFS('Supplier Pipeline Tracker'!$P:$P,$A10,'Supplier Pipeline Tracker'!$R:$R,"&lt;&gt;",'Supplier Pipeline Tracker'!$S:$S,"Y")</f>
        <v>0</v>
      </c>
      <c r="F10" s="8">
        <f>COUNTIFS('Supplier Pipeline Tracker'!$P:$P,$A10,'Supplier Pipeline Tracker'!$Q:$Q,"&lt;&gt;")</f>
        <v>0</v>
      </c>
      <c r="G10" s="8">
        <f>COUNTIFS('Supplier Pipeline Tracker'!$P:$P,$A10,'Supplier Pipeline Tracker'!$R:$R,"&lt;&gt;")</f>
        <v>0</v>
      </c>
      <c r="H10" s="8">
        <f>COUNTIFS('Supplier Pipeline Tracker'!$P:$P,$A10,'Supplier Pipeline Tracker'!$T:$T,"&lt;&gt;")</f>
        <v>0</v>
      </c>
      <c r="I10" s="8">
        <f>COUNTIFS('Supplier Pipeline Tracker'!$P:$P,$A10,'Supplier Pipeline Tracker'!$S:$S,"Y")</f>
        <v>0</v>
      </c>
      <c r="J10" s="8">
        <f>COUNTIFS('Supplier Pipeline Tracker'!$P:$P,$A10,'Supplier Pipeline Tracker'!$AE:$AE,"&lt;&gt;")</f>
        <v>0</v>
      </c>
      <c r="K10" s="8">
        <f>SUM($E$5:$E10)</f>
        <v>0</v>
      </c>
      <c r="L10" s="20">
        <f t="shared" si="0"/>
        <v>0</v>
      </c>
      <c r="M10" s="8" t="s">
        <v>296</v>
      </c>
      <c r="N10" s="8"/>
    </row>
    <row r="11" spans="1:14" x14ac:dyDescent="0.2">
      <c r="A11" s="21" t="s">
        <v>308</v>
      </c>
      <c r="B11" s="21"/>
      <c r="C11" s="21"/>
      <c r="D11" s="21">
        <f>SUM(D5:D10)</f>
        <v>22</v>
      </c>
      <c r="E11" s="21">
        <f>SUM(E5:E10)</f>
        <v>0</v>
      </c>
      <c r="F11" s="21"/>
      <c r="G11" s="21"/>
      <c r="H11" s="21"/>
      <c r="I11" s="21"/>
      <c r="J11" s="21"/>
      <c r="K11" s="21">
        <f>K10</f>
        <v>0</v>
      </c>
      <c r="L11" s="22">
        <f>K11/50</f>
        <v>0</v>
      </c>
      <c r="M11" s="21"/>
      <c r="N11" s="21"/>
    </row>
  </sheetData>
  <mergeCells count="2">
    <mergeCell ref="A2:N2"/>
    <mergeCell ref="A1:N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'Reference Lists'!$H$4:$H$6</xm:f>
          </x14:formula1>
          <xm:sqref>M5:M10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B5" sqref="B5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8" customWidth="1"/>
    <col min="4" max="4" width="22" customWidth="1"/>
    <col min="5" max="6" width="12" customWidth="1"/>
    <col min="7" max="7" width="14" customWidth="1"/>
    <col min="8" max="8" width="11" customWidth="1"/>
    <col min="9" max="9" width="18" customWidth="1"/>
    <col min="10" max="10" width="16" customWidth="1"/>
    <col min="11" max="11" width="22" customWidth="1"/>
    <col min="12" max="12" width="18" customWidth="1"/>
    <col min="13" max="13" width="12" customWidth="1"/>
    <col min="14" max="14" width="30" customWidth="1"/>
  </cols>
  <sheetData>
    <row r="1" spans="1:14" ht="20" x14ac:dyDescent="0.2">
      <c r="A1" s="25" t="s">
        <v>12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">
      <c r="A2" s="23" t="s">
        <v>309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4" spans="1:14" ht="28" x14ac:dyDescent="0.2">
      <c r="A4" s="6" t="s">
        <v>147</v>
      </c>
      <c r="B4" s="6" t="s">
        <v>148</v>
      </c>
      <c r="C4" s="6" t="s">
        <v>310</v>
      </c>
      <c r="D4" s="6" t="s">
        <v>311</v>
      </c>
      <c r="E4" s="6" t="s">
        <v>312</v>
      </c>
      <c r="F4" s="6" t="s">
        <v>313</v>
      </c>
      <c r="G4" s="6" t="s">
        <v>314</v>
      </c>
      <c r="H4" s="6" t="s">
        <v>167</v>
      </c>
      <c r="I4" s="6" t="s">
        <v>315</v>
      </c>
      <c r="J4" s="6" t="s">
        <v>168</v>
      </c>
      <c r="K4" s="6" t="s">
        <v>316</v>
      </c>
      <c r="L4" s="6" t="s">
        <v>317</v>
      </c>
      <c r="M4" s="6" t="s">
        <v>318</v>
      </c>
      <c r="N4" s="6" t="s">
        <v>172</v>
      </c>
    </row>
    <row r="5" spans="1:14" x14ac:dyDescent="0.2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x14ac:dyDescent="0.2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x14ac:dyDescent="0.2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x14ac:dyDescent="0.2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x14ac:dyDescent="0.2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14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pans="1:14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pans="1:14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pans="1:14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14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4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4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</sheetData>
  <autoFilter ref="A4:N44" xr:uid="{00000000-0009-0000-0000-000005000000}"/>
  <mergeCells count="2">
    <mergeCell ref="A2:N2"/>
    <mergeCell ref="A1:N1"/>
  </mergeCells>
  <dataValidations count="1">
    <dataValidation type="list" allowBlank="1" sqref="C5:C44" xr:uid="{00000000-0002-0000-0500-000000000000}">
      <formula1>"NDA,MSA,Pricing/Capacity,Quality/AQL Annex,Trial PO"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'Reference Lists'!$I$4:$I$5</xm:f>
          </x14:formula1>
          <xm:sqref>D5:D44 L5:L44 J5:J44 G5:H44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5" customWidth="1"/>
    <col min="2" max="2" width="36" customWidth="1"/>
    <col min="3" max="3" width="12" customWidth="1"/>
    <col min="4" max="4" width="9" customWidth="1"/>
    <col min="5" max="5" width="56" customWidth="1"/>
    <col min="6" max="6" width="16" customWidth="1"/>
    <col min="7" max="7" width="26" customWidth="1"/>
    <col min="8" max="8" width="10" customWidth="1"/>
  </cols>
  <sheetData>
    <row r="1" spans="1:8" ht="20" x14ac:dyDescent="0.2">
      <c r="A1" s="25" t="s">
        <v>14</v>
      </c>
      <c r="B1" s="24"/>
      <c r="C1" s="24"/>
      <c r="D1" s="24"/>
      <c r="E1" s="24"/>
      <c r="F1" s="24"/>
      <c r="G1" s="24"/>
      <c r="H1" s="24"/>
    </row>
    <row r="2" spans="1:8" x14ac:dyDescent="0.2">
      <c r="A2" s="23" t="s">
        <v>319</v>
      </c>
      <c r="B2" s="24"/>
      <c r="C2" s="24"/>
      <c r="D2" s="24"/>
      <c r="E2" s="24"/>
      <c r="F2" s="24"/>
      <c r="G2" s="24"/>
      <c r="H2" s="24"/>
    </row>
    <row r="4" spans="1:8" x14ac:dyDescent="0.2">
      <c r="A4" s="6" t="s">
        <v>320</v>
      </c>
      <c r="B4" s="6" t="s">
        <v>321</v>
      </c>
      <c r="C4" s="6" t="s">
        <v>322</v>
      </c>
      <c r="D4" s="6" t="s">
        <v>323</v>
      </c>
      <c r="E4" s="6" t="s">
        <v>324</v>
      </c>
      <c r="F4" s="6" t="s">
        <v>157</v>
      </c>
      <c r="G4" s="6" t="s">
        <v>325</v>
      </c>
      <c r="H4" s="6" t="s">
        <v>318</v>
      </c>
    </row>
    <row r="5" spans="1:8" ht="28" x14ac:dyDescent="0.2">
      <c r="A5" s="8" t="s">
        <v>79</v>
      </c>
      <c r="B5" s="8" t="s">
        <v>326</v>
      </c>
      <c r="C5" s="8" t="s">
        <v>327</v>
      </c>
      <c r="D5" s="8" t="s">
        <v>328</v>
      </c>
      <c r="E5" s="8" t="s">
        <v>329</v>
      </c>
      <c r="F5" s="8" t="s">
        <v>330</v>
      </c>
      <c r="G5" s="8" t="s">
        <v>331</v>
      </c>
      <c r="H5" s="8" t="s">
        <v>332</v>
      </c>
    </row>
    <row r="6" spans="1:8" ht="28" x14ac:dyDescent="0.2">
      <c r="A6" s="10" t="s">
        <v>84</v>
      </c>
      <c r="B6" s="10" t="s">
        <v>333</v>
      </c>
      <c r="C6" s="10" t="s">
        <v>327</v>
      </c>
      <c r="D6" s="10" t="s">
        <v>328</v>
      </c>
      <c r="E6" s="10" t="s">
        <v>334</v>
      </c>
      <c r="F6" s="10" t="s">
        <v>335</v>
      </c>
      <c r="G6" s="10" t="s">
        <v>336</v>
      </c>
      <c r="H6" s="10" t="s">
        <v>332</v>
      </c>
    </row>
    <row r="7" spans="1:8" ht="28" x14ac:dyDescent="0.2">
      <c r="A7" s="8" t="s">
        <v>88</v>
      </c>
      <c r="B7" s="8" t="s">
        <v>337</v>
      </c>
      <c r="C7" s="8" t="s">
        <v>328</v>
      </c>
      <c r="D7" s="8" t="s">
        <v>327</v>
      </c>
      <c r="E7" s="8" t="s">
        <v>338</v>
      </c>
      <c r="F7" s="8" t="s">
        <v>339</v>
      </c>
      <c r="G7" s="8" t="s">
        <v>340</v>
      </c>
      <c r="H7" s="8" t="s">
        <v>332</v>
      </c>
    </row>
    <row r="8" spans="1:8" ht="28" x14ac:dyDescent="0.2">
      <c r="A8" s="10" t="s">
        <v>94</v>
      </c>
      <c r="B8" s="10" t="s">
        <v>341</v>
      </c>
      <c r="C8" s="10" t="s">
        <v>327</v>
      </c>
      <c r="D8" s="10" t="s">
        <v>328</v>
      </c>
      <c r="E8" s="10" t="s">
        <v>342</v>
      </c>
      <c r="F8" s="10" t="s">
        <v>330</v>
      </c>
      <c r="G8" s="10" t="s">
        <v>343</v>
      </c>
      <c r="H8" s="10" t="s">
        <v>332</v>
      </c>
    </row>
    <row r="9" spans="1:8" ht="28" x14ac:dyDescent="0.2">
      <c r="A9" s="8" t="s">
        <v>100</v>
      </c>
      <c r="B9" s="8" t="s">
        <v>344</v>
      </c>
      <c r="C9" s="8" t="s">
        <v>328</v>
      </c>
      <c r="D9" s="8" t="s">
        <v>328</v>
      </c>
      <c r="E9" s="8" t="s">
        <v>345</v>
      </c>
      <c r="F9" s="8" t="s">
        <v>339</v>
      </c>
      <c r="G9" s="8" t="s">
        <v>346</v>
      </c>
      <c r="H9" s="8" t="s">
        <v>332</v>
      </c>
    </row>
    <row r="10" spans="1:8" ht="28" x14ac:dyDescent="0.2">
      <c r="A10" s="10" t="s">
        <v>105</v>
      </c>
      <c r="B10" s="10" t="s">
        <v>347</v>
      </c>
      <c r="C10" s="10" t="s">
        <v>348</v>
      </c>
      <c r="D10" s="10" t="s">
        <v>328</v>
      </c>
      <c r="E10" s="10" t="s">
        <v>349</v>
      </c>
      <c r="F10" s="10" t="s">
        <v>330</v>
      </c>
      <c r="G10" s="10" t="s">
        <v>350</v>
      </c>
      <c r="H10" s="10" t="s">
        <v>332</v>
      </c>
    </row>
    <row r="11" spans="1:8" ht="28" x14ac:dyDescent="0.2">
      <c r="A11" s="8" t="s">
        <v>111</v>
      </c>
      <c r="B11" s="8" t="s">
        <v>351</v>
      </c>
      <c r="C11" s="8" t="s">
        <v>348</v>
      </c>
      <c r="D11" s="8" t="s">
        <v>328</v>
      </c>
      <c r="E11" s="8" t="s">
        <v>352</v>
      </c>
      <c r="F11" s="8" t="s">
        <v>353</v>
      </c>
      <c r="G11" s="8" t="s">
        <v>354</v>
      </c>
      <c r="H11" s="8" t="s">
        <v>332</v>
      </c>
    </row>
    <row r="12" spans="1:8" ht="28" x14ac:dyDescent="0.2">
      <c r="A12" s="10" t="s">
        <v>117</v>
      </c>
      <c r="B12" s="10" t="s">
        <v>355</v>
      </c>
      <c r="C12" s="10" t="s">
        <v>348</v>
      </c>
      <c r="D12" s="10" t="s">
        <v>328</v>
      </c>
      <c r="E12" s="10" t="s">
        <v>356</v>
      </c>
      <c r="F12" s="10" t="s">
        <v>357</v>
      </c>
      <c r="G12" s="10" t="s">
        <v>358</v>
      </c>
      <c r="H12" s="10" t="s">
        <v>332</v>
      </c>
    </row>
    <row r="13" spans="1:8" ht="28" x14ac:dyDescent="0.2">
      <c r="A13" s="8" t="s">
        <v>98</v>
      </c>
      <c r="B13" s="8" t="s">
        <v>359</v>
      </c>
      <c r="C13" s="8" t="s">
        <v>348</v>
      </c>
      <c r="D13" s="8" t="s">
        <v>348</v>
      </c>
      <c r="E13" s="8" t="s">
        <v>360</v>
      </c>
      <c r="F13" s="8" t="s">
        <v>330</v>
      </c>
      <c r="G13" s="8" t="s">
        <v>361</v>
      </c>
      <c r="H13" s="8" t="s">
        <v>332</v>
      </c>
    </row>
    <row r="14" spans="1:8" ht="28" x14ac:dyDescent="0.2">
      <c r="A14" s="10" t="s">
        <v>127</v>
      </c>
      <c r="B14" s="10" t="s">
        <v>362</v>
      </c>
      <c r="C14" s="10" t="s">
        <v>348</v>
      </c>
      <c r="D14" s="10" t="s">
        <v>327</v>
      </c>
      <c r="E14" s="10" t="s">
        <v>363</v>
      </c>
      <c r="F14" s="10" t="s">
        <v>330</v>
      </c>
      <c r="G14" s="10" t="s">
        <v>364</v>
      </c>
      <c r="H14" s="10" t="s">
        <v>332</v>
      </c>
    </row>
    <row r="15" spans="1:8" ht="28" x14ac:dyDescent="0.2">
      <c r="A15" s="8" t="s">
        <v>133</v>
      </c>
      <c r="B15" s="8" t="s">
        <v>365</v>
      </c>
      <c r="C15" s="8" t="s">
        <v>328</v>
      </c>
      <c r="D15" s="8" t="s">
        <v>327</v>
      </c>
      <c r="E15" s="8" t="s">
        <v>366</v>
      </c>
      <c r="F15" s="8" t="s">
        <v>339</v>
      </c>
      <c r="G15" s="8" t="s">
        <v>367</v>
      </c>
      <c r="H15" s="8" t="s">
        <v>332</v>
      </c>
    </row>
  </sheetData>
  <mergeCells count="2">
    <mergeCell ref="A2:H2"/>
    <mergeCell ref="A1:H1"/>
  </mergeCells>
  <dataValidations count="1">
    <dataValidation type="list" allowBlank="1" sqref="H5:H44" xr:uid="{00000000-0002-0000-0600-000000000000}">
      <formula1>"Open,Mitigating,Closed"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"/>
  <sheetViews>
    <sheetView showGridLines="0" workbookViewId="0">
      <pane ySplit="3" topLeftCell="A4" activePane="bottomLeft" state="frozen"/>
      <selection pane="bottomLeft" activeCell="C25" sqref="C25"/>
    </sheetView>
  </sheetViews>
  <sheetFormatPr baseColWidth="10" defaultColWidth="8.83203125" defaultRowHeight="15" x14ac:dyDescent="0.2"/>
  <cols>
    <col min="1" max="9" width="22" customWidth="1"/>
  </cols>
  <sheetData>
    <row r="1" spans="1:9" ht="20" x14ac:dyDescent="0.2">
      <c r="A1" s="25" t="s">
        <v>16</v>
      </c>
      <c r="B1" s="24"/>
      <c r="C1" s="24"/>
      <c r="D1" s="24"/>
      <c r="E1" s="24"/>
      <c r="F1" s="24"/>
      <c r="G1" s="24"/>
      <c r="H1" s="24"/>
      <c r="I1" s="24"/>
    </row>
    <row r="2" spans="1:9" x14ac:dyDescent="0.2">
      <c r="A2" s="23" t="s">
        <v>368</v>
      </c>
      <c r="B2" s="24"/>
      <c r="C2" s="24"/>
      <c r="D2" s="24"/>
      <c r="E2" s="24"/>
      <c r="F2" s="24"/>
      <c r="G2" s="24"/>
      <c r="H2" s="24"/>
      <c r="I2" s="24"/>
    </row>
    <row r="3" spans="1:9" x14ac:dyDescent="0.2">
      <c r="A3" s="6" t="s">
        <v>149</v>
      </c>
      <c r="B3" s="6" t="s">
        <v>154</v>
      </c>
      <c r="C3" s="6" t="s">
        <v>155</v>
      </c>
      <c r="D3" s="6" t="s">
        <v>156</v>
      </c>
      <c r="E3" s="6" t="s">
        <v>152</v>
      </c>
      <c r="F3" s="6" t="s">
        <v>369</v>
      </c>
      <c r="G3" s="6" t="s">
        <v>370</v>
      </c>
      <c r="H3" s="6" t="s">
        <v>292</v>
      </c>
      <c r="I3" s="6" t="s">
        <v>371</v>
      </c>
    </row>
    <row r="4" spans="1:9" x14ac:dyDescent="0.2">
      <c r="A4" s="18" t="s">
        <v>176</v>
      </c>
      <c r="B4" s="18" t="s">
        <v>181</v>
      </c>
      <c r="C4" s="18" t="s">
        <v>182</v>
      </c>
      <c r="D4" s="18" t="s">
        <v>202</v>
      </c>
      <c r="E4" s="18" t="s">
        <v>189</v>
      </c>
      <c r="F4" s="18" t="s">
        <v>195</v>
      </c>
      <c r="G4" s="18" t="s">
        <v>372</v>
      </c>
      <c r="H4" s="18" t="s">
        <v>296</v>
      </c>
      <c r="I4" s="18" t="s">
        <v>195</v>
      </c>
    </row>
    <row r="5" spans="1:9" x14ac:dyDescent="0.2">
      <c r="A5" s="18" t="s">
        <v>196</v>
      </c>
      <c r="B5" s="18" t="s">
        <v>191</v>
      </c>
      <c r="C5" s="18" t="s">
        <v>192</v>
      </c>
      <c r="D5" s="18" t="s">
        <v>373</v>
      </c>
      <c r="E5" s="18" t="s">
        <v>179</v>
      </c>
      <c r="F5" s="18" t="s">
        <v>175</v>
      </c>
      <c r="G5" s="18" t="s">
        <v>374</v>
      </c>
      <c r="H5" s="18" t="s">
        <v>375</v>
      </c>
      <c r="I5" s="18" t="s">
        <v>175</v>
      </c>
    </row>
    <row r="6" spans="1:9" x14ac:dyDescent="0.2">
      <c r="B6" s="18" t="s">
        <v>201</v>
      </c>
      <c r="D6" s="18" t="s">
        <v>183</v>
      </c>
      <c r="E6" s="18" t="s">
        <v>230</v>
      </c>
      <c r="F6" s="18" t="s">
        <v>376</v>
      </c>
      <c r="G6" s="18" t="s">
        <v>377</v>
      </c>
      <c r="H6" s="18" t="s">
        <v>378</v>
      </c>
    </row>
    <row r="7" spans="1:9" x14ac:dyDescent="0.2">
      <c r="D7" s="18" t="s">
        <v>379</v>
      </c>
      <c r="E7" s="18" t="s">
        <v>199</v>
      </c>
      <c r="G7" s="18" t="s">
        <v>380</v>
      </c>
    </row>
    <row r="8" spans="1:9" x14ac:dyDescent="0.2">
      <c r="D8" s="18" t="s">
        <v>381</v>
      </c>
      <c r="E8" s="18" t="s">
        <v>216</v>
      </c>
      <c r="G8" s="18" t="s">
        <v>382</v>
      </c>
    </row>
    <row r="9" spans="1:9" x14ac:dyDescent="0.2">
      <c r="D9" s="18" t="s">
        <v>383</v>
      </c>
      <c r="E9" s="18" t="s">
        <v>223</v>
      </c>
    </row>
    <row r="10" spans="1:9" x14ac:dyDescent="0.2">
      <c r="D10" s="18" t="s">
        <v>384</v>
      </c>
      <c r="E10" s="18" t="s">
        <v>221</v>
      </c>
    </row>
    <row r="11" spans="1:9" x14ac:dyDescent="0.2">
      <c r="D11" s="18" t="s">
        <v>385</v>
      </c>
      <c r="E11" s="18" t="s">
        <v>225</v>
      </c>
    </row>
    <row r="12" spans="1:9" x14ac:dyDescent="0.2">
      <c r="D12" s="18" t="s">
        <v>386</v>
      </c>
      <c r="E12" s="18" t="s">
        <v>235</v>
      </c>
    </row>
    <row r="13" spans="1:9" x14ac:dyDescent="0.2">
      <c r="D13" s="18" t="s">
        <v>226</v>
      </c>
      <c r="E13" s="18" t="s">
        <v>251</v>
      </c>
    </row>
    <row r="14" spans="1:9" x14ac:dyDescent="0.2">
      <c r="D14" s="18" t="s">
        <v>387</v>
      </c>
      <c r="E14" s="18" t="s">
        <v>258</v>
      </c>
    </row>
    <row r="15" spans="1:9" x14ac:dyDescent="0.2">
      <c r="E15" s="18" t="s">
        <v>266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Roadmap</vt:lpstr>
      <vt:lpstr>Weekly Timeline</vt:lpstr>
      <vt:lpstr>Supplier Pipeline Tracker</vt:lpstr>
      <vt:lpstr>Sprint Scorecard</vt:lpstr>
      <vt:lpstr>Contract &amp; Document Status</vt:lpstr>
      <vt:lpstr>Risk Register</vt:lpstr>
      <vt:lpstr>Reference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Cory Timmons</cp:lastModifiedBy>
  <dcterms:created xsi:type="dcterms:W3CDTF">2026-06-22T23:45:56Z</dcterms:created>
  <dcterms:modified xsi:type="dcterms:W3CDTF">2026-06-24T23:07:17Z</dcterms:modified>
</cp:coreProperties>
</file>